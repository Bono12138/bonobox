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6b110b7d9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资排序" sheetId="1" r:id="Rd4049195feca409a"/>
    <x:sheet xmlns:r="http://schemas.openxmlformats.org/officeDocument/2006/relationships" name="供给瓶颈" sheetId="2" r:id="R97418976802743ac"/>
    <x:sheet xmlns:r="http://schemas.openxmlformats.org/officeDocument/2006/relationships" name="财务事实" sheetId="3" r:id="R4539d97594ef4705"/>
    <x:sheet xmlns:r="http://schemas.openxmlformats.org/officeDocument/2006/relationships" name="行情" sheetId="4" r:id="R2227dfa0f7ef46f7"/>
    <x:sheet xmlns:r="http://schemas.openxmlformats.org/officeDocument/2006/relationships" name="台积电" sheetId="5" r:id="Rf0796880e7d24408"/>
    <x:sheet xmlns:r="http://schemas.openxmlformats.org/officeDocument/2006/relationships" name="NVIDIA" sheetId="6" r:id="R0088d82db1a3499f"/>
    <x:sheet xmlns:r="http://schemas.openxmlformats.org/officeDocument/2006/relationships" name="施耐德" sheetId="7" r:id="R6c63953da7d941cd"/>
    <x:sheet xmlns:r="http://schemas.openxmlformats.org/officeDocument/2006/relationships" name="西门子能源" sheetId="8" r:id="R1d114015b6974765"/>
    <x:sheet xmlns:r="http://schemas.openxmlformats.org/officeDocument/2006/relationships" name="Broadcom" sheetId="9" r:id="R8e02fe4cc6614cc5"/>
    <x:sheet xmlns:r="http://schemas.openxmlformats.org/officeDocument/2006/relationships" name="Vertiv" sheetId="10" r:id="R70830750b28e4ab3"/>
    <x:sheet xmlns:r="http://schemas.openxmlformats.org/officeDocument/2006/relationships" name="Eaton" sheetId="11" r:id="R2915d0e5de9f4729"/>
    <x:sheet xmlns:r="http://schemas.openxmlformats.org/officeDocument/2006/relationships" name="SK海力士" sheetId="12" r:id="R697295e514d74cad"/>
    <x:sheet xmlns:r="http://schemas.openxmlformats.org/officeDocument/2006/relationships" name="Micron" sheetId="13" r:id="Rd1309eb94411442b"/>
    <x:sheet xmlns:r="http://schemas.openxmlformats.org/officeDocument/2006/relationships" name="GEV" sheetId="14" r:id="Ref5022c9d31e4fc7"/>
    <x:sheet xmlns:r="http://schemas.openxmlformats.org/officeDocument/2006/relationships" name="Talen" sheetId="15" r:id="R1fe97897ba734b20"/>
    <x:sheet xmlns:r="http://schemas.openxmlformats.org/officeDocument/2006/relationships" name="Constellation观察" sheetId="16" r:id="R4f95d9c1c59a4938"/>
    <x:sheet xmlns:r="http://schemas.openxmlformats.org/officeDocument/2006/relationships" name="台积电敏感性" sheetId="17" r:id="Rcd072bdfda2e46f5"/>
    <x:sheet xmlns:r="http://schemas.openxmlformats.org/officeDocument/2006/relationships" name="监测与反证" sheetId="18" r:id="R6c06d9f40bfa4ab2"/>
    <x:sheet xmlns:r="http://schemas.openxmlformats.org/officeDocument/2006/relationships" name="来源" sheetId="19" r:id="Reae48bc256664b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"/>
    <x:numFmt numFmtId="201" formatCode="0.0%"/>
    <x:numFmt numFmtId="202" formatCode="#,##0"/>
    <x:numFmt numFmtId="203" formatCode="#,##0.000;(#,##0.000);–"/>
    <x:numFmt numFmtId="204" formatCode="0"/>
    <x:numFmt numFmtId="205" formatCode="yyyy-mm-dd hh:mm:ss &quot;UTC&quot;"/>
    <x:numFmt numFmtId="206" formatCode="#,##0.000000"/>
    <x:numFmt numFmtId="207" formatCode="#,##0.0;(#,##0.0);–"/>
    <x:numFmt numFmtId="208" formatCode="0%"/>
  </x:numFmts>
  <x:fonts count="10">
    <x:font>
      <x:sz val="11"/>
      <x:name val="Carlito"/>
    </x:font>
    <x:font>
      <x:sz val="11"/>
      <x:color rgb="FF203449"/>
      <x:name val="Noto Sans CJK SC"/>
    </x:font>
    <x:font>
      <x:b/>
      <x:sz val="21"/>
      <x:color rgb="FFFFFFFF"/>
      <x:name val="Noto Sans CJK SC"/>
    </x:font>
    <x:font>
      <x:sz val="11"/>
      <x:color rgb="FF596A7A"/>
      <x:name val="Noto Sans CJK SC"/>
    </x:font>
    <x:font>
      <x:b/>
      <x:sz val="11"/>
      <x:color rgb="FFFFFFFF"/>
      <x:name val="Noto Sans CJK SC"/>
    </x:font>
    <x:font>
      <x:sz val="11"/>
      <x:color rgb="FF1E60A8"/>
      <x:name val="Noto Sans CJK SC"/>
    </x:font>
    <x:font>
      <x:sz val="8"/>
      <x:color rgb="FF203449"/>
      <x:name val="Noto Sans CJK SC"/>
    </x:font>
    <x:font>
      <x:b/>
      <x:sz val="11"/>
      <x:color rgb="FF203449"/>
      <x:name val="Noto Sans CJK SC"/>
    </x:font>
    <x:font>
      <x:sz val="11"/>
      <x:color rgb="FFFFFFFF"/>
      <x:name val="Noto Sans CJK SC"/>
    </x:font>
    <x:font>
      <x:sz val="9"/>
      <x:color rgb="FF1E60A8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FBF8F0"/>
      </x:patternFill>
    </x:fill>
    <x:fill>
      <x:patternFill patternType="solid">
        <x:fgColor rgb="FFFFFFFF"/>
      </x:patternFill>
    </x:fill>
    <x:fill>
      <x:patternFill patternType="solid">
        <x:fgColor rgb="FFF3C928"/>
      </x:patternFill>
    </x:fill>
  </x:fills>
  <x:borders count="2">
    <x:border/>
    <x:border>
      <x:bottom style="thin">
        <x:color rgb="FFDCE3E8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200" fontId="1" fillId="3" borderId="1" xfId="0" applyNumberFormat="1" applyFont="1" applyFill="1" applyBorder="1" applyAlignment="1">
      <x:alignment vertical="center" wrapText="0"/>
    </x:xf>
    <x:xf numFmtId="201" fontId="1" fillId="3" borderId="1" xfId="0" applyNumberFormat="1" applyFont="1" applyFill="1" applyBorder="1" applyAlignment="1">
      <x:alignment vertical="center" wrapText="0"/>
    </x:xf>
    <x:xf numFmtId="202" fontId="1" fillId="3" borderId="1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1" fillId="4" borderId="1" xfId="0" applyNumberFormat="1" applyFont="1" applyFill="1" applyBorder="1" applyAlignment="1">
      <x:alignment vertical="center" wrapText="0"/>
    </x:xf>
    <x:xf numFmtId="200" fontId="1" fillId="4" borderId="1" xfId="0" applyNumberFormat="1" applyFont="1" applyFill="1" applyBorder="1" applyAlignment="1">
      <x:alignment vertical="center" wrapText="0"/>
    </x:xf>
    <x:xf numFmtId="201" fontId="1" fillId="4" borderId="1" xfId="0" applyNumberFormat="1" applyFont="1" applyFill="1" applyBorder="1" applyAlignment="1">
      <x:alignment vertical="center" wrapText="0"/>
    </x:xf>
    <x:xf numFmtId="202" fontId="1" fillId="4" borderId="1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/>
    </x:xf>
    <x:xf numFmtId="203" fontId="1" fillId="3" borderId="1" xfId="0" applyNumberFormat="1" applyFont="1" applyFill="1" applyBorder="1" applyAlignment="1">
      <x:alignment vertical="center" wrapText="0"/>
    </x:xf>
    <x:xf numFmtId="203" fontId="1" fillId="4" borderId="1" xfId="0" applyNumberFormat="1" applyFont="1" applyFill="1" applyBorder="1" applyAlignment="1">
      <x:alignment vertical="center" wrapText="0"/>
    </x:xf>
    <x:xf numFmtId="204" fontId="1" fillId="4" borderId="1" xfId="0" applyNumberFormat="1" applyFont="1" applyFill="1" applyBorder="1" applyAlignment="1">
      <x:alignment vertical="center" wrapText="0"/>
    </x:xf>
    <x:xf numFmtId="204" fontId="1" fillId="3" borderId="1" xfId="0" applyNumberFormat="1" applyFont="1" applyFill="1" applyBorder="1" applyAlignment="1">
      <x:alignment vertical="center" wrapText="0"/>
    </x:xf>
    <x:xf numFmtId="205" fontId="1" fillId="3" borderId="1" xfId="0" applyNumberFormat="1" applyFont="1" applyFill="1" applyBorder="1" applyAlignment="1">
      <x:alignment vertical="center" wrapText="0"/>
    </x:xf>
    <x:xf numFmtId="200" fontId="5" fillId="3" borderId="1" xfId="0" applyNumberFormat="1" applyFont="1" applyFill="1" applyBorder="1" applyAlignment="1">
      <x:alignment vertical="center" wrapText="0"/>
    </x:xf>
    <x:xf numFmtId="0" fontId="6" fillId="3" borderId="1" xfId="0" applyNumberFormat="1" applyFont="1" applyFill="1" applyBorder="1" applyAlignment="1">
      <x:alignment vertical="center" wrapText="0"/>
    </x:xf>
    <x:xf numFmtId="205" fontId="1" fillId="4" borderId="1" xfId="0" applyNumberFormat="1" applyFont="1" applyFill="1" applyBorder="1" applyAlignment="1">
      <x:alignment vertical="center" wrapText="0"/>
    </x:xf>
    <x:xf numFmtId="200" fontId="5" fillId="4" borderId="1" xfId="0" applyNumberFormat="1" applyFont="1" applyFill="1" applyBorder="1" applyAlignment="1">
      <x:alignment vertical="center" wrapText="0"/>
    </x:xf>
    <x:xf numFmtId="0" fontId="6" fillId="4" borderId="1" xfId="0" applyNumberFormat="1" applyFont="1" applyFill="1" applyBorder="1" applyAlignment="1">
      <x:alignment vertical="center" wrapText="0"/>
    </x:xf>
    <x:xf numFmtId="206" fontId="1" fillId="3" borderId="1" xfId="0" applyNumberFormat="1" applyFont="1" applyFill="1" applyBorder="1" applyAlignment="1">
      <x:alignment vertical="center" wrapText="0"/>
    </x:xf>
    <x:xf numFmtId="206" fontId="1" fillId="4" borderId="1" xfId="0" applyNumberFormat="1" applyFont="1" applyFill="1" applyBorder="1" applyAlignment="1">
      <x:alignment vertical="center" wrapText="0"/>
    </x:xf>
    <x:xf numFmtId="0" fontId="5" fillId="4" borderId="1" xfId="0" applyNumberFormat="1" applyFont="1" applyFill="1" applyBorder="1" applyAlignment="1">
      <x:alignment vertical="center" wrapText="0"/>
    </x:xf>
    <x:xf numFmtId="201" fontId="5" fillId="3" borderId="1" xfId="0" applyNumberFormat="1" applyFont="1" applyFill="1" applyBorder="1" applyAlignment="1">
      <x:alignment vertical="center" wrapText="0"/>
    </x:xf>
    <x:xf numFmtId="0" fontId="5" fillId="3" borderId="1" xfId="0" applyNumberFormat="1" applyFont="1" applyFill="1" applyBorder="1" applyAlignment="1">
      <x:alignment vertical="center" wrapText="0"/>
    </x:xf>
    <x:xf numFmtId="0" fontId="5" fillId="4" borderId="1" xfId="0" applyNumberFormat="1" applyFont="1" applyFill="1" applyBorder="1" applyAlignment="1">
      <x:alignment horizontal="center" vertical="center" wrapText="0"/>
    </x:xf>
    <x:xf numFmtId="0" fontId="5" fillId="3" borderId="1" xfId="0" applyNumberFormat="1" applyFont="1" applyFill="1" applyBorder="1" applyAlignment="1">
      <x:alignment horizontal="center" vertical="center" wrapText="0"/>
    </x:xf>
    <x:xf numFmtId="0" fontId="1" fillId="4" borderId="1" xfId="0" applyNumberFormat="1" applyFont="1" applyFill="1" applyBorder="1" applyAlignment="1">
      <x:alignment horizontal="center" vertical="center" wrapText="0"/>
    </x:xf>
    <x:xf numFmtId="0" fontId="1" fillId="3" borderId="1" xfId="0" applyNumberFormat="1" applyFont="1" applyFill="1" applyBorder="1" applyAlignment="1">
      <x:alignment horizontal="center" vertical="center" wrapText="0"/>
    </x:xf>
    <x:xf numFmtId="207" fontId="5" fillId="4" borderId="1" xfId="0" applyNumberFormat="1" applyFont="1" applyFill="1" applyBorder="1" applyAlignment="1">
      <x:alignment horizontal="center" vertical="center" wrapText="0"/>
    </x:xf>
    <x:xf numFmtId="207" fontId="5" fillId="3" borderId="1" xfId="0" applyNumberFormat="1" applyFont="1" applyFill="1" applyBorder="1" applyAlignment="1">
      <x:alignment horizontal="center" vertical="center" wrapText="0"/>
    </x:xf>
    <x:xf numFmtId="207" fontId="1" fillId="4" borderId="1" xfId="0" applyNumberFormat="1" applyFont="1" applyFill="1" applyBorder="1" applyAlignment="1">
      <x:alignment horizontal="center" vertical="center" wrapText="0"/>
    </x:xf>
    <x:xf numFmtId="207" fontId="1" fillId="3" borderId="1" xfId="0" applyNumberFormat="1" applyFont="1" applyFill="1" applyBorder="1" applyAlignment="1">
      <x:alignment horizontal="center" vertical="center" wrapText="0"/>
    </x:xf>
    <x:xf numFmtId="201" fontId="5" fillId="3" borderId="1" xfId="0" applyNumberFormat="1" applyFont="1" applyFill="1" applyBorder="1" applyAlignment="1">
      <x:alignment horizontal="center" vertical="center" wrapText="0"/>
    </x:xf>
    <x:xf numFmtId="201" fontId="5" fillId="4" borderId="1" xfId="0" applyNumberFormat="1" applyFont="1" applyFill="1" applyBorder="1" applyAlignment="1">
      <x:alignment horizontal="center" vertical="center" wrapText="0"/>
    </x:xf>
    <x:xf numFmtId="201" fontId="1" fillId="4" borderId="1" xfId="0" applyNumberFormat="1" applyFont="1" applyFill="1" applyBorder="1" applyAlignment="1">
      <x:alignment horizontal="center" vertical="center" wrapText="0"/>
    </x:xf>
    <x:xf numFmtId="201" fontId="1" fillId="3" borderId="1" xfId="0" applyNumberFormat="1" applyFont="1" applyFill="1" applyBorder="1" applyAlignment="1">
      <x:alignment horizontal="center" vertical="center" wrapText="0"/>
    </x:xf>
    <x:xf numFmtId="0" fontId="1" fillId="5" borderId="1" xfId="0" applyNumberFormat="1" applyFont="1" applyFill="1" applyBorder="1" applyAlignment="1">
      <x:alignment vertical="center" wrapText="0"/>
    </x:xf>
    <x:xf numFmtId="201" fontId="1" fillId="5" borderId="1" xfId="0" applyNumberFormat="1" applyFont="1" applyFill="1" applyBorder="1" applyAlignment="1">
      <x:alignment horizontal="center" vertical="center" wrapText="0"/>
    </x:xf>
    <x:xf numFmtId="207" fontId="1" fillId="5" borderId="1" xfId="0" applyNumberFormat="1" applyFont="1" applyFill="1" applyBorder="1" applyAlignment="1">
      <x:alignment horizontal="center" vertical="center" wrapText="0"/>
    </x:xf>
    <x:xf numFmtId="0" fontId="7" fillId="5" borderId="1" xfId="0" applyNumberFormat="1" applyFont="1" applyFill="1" applyBorder="1" applyAlignment="1">
      <x:alignment vertical="center" wrapText="0"/>
    </x:xf>
    <x:xf numFmtId="201" fontId="7" fillId="5" borderId="1" xfId="0" applyNumberFormat="1" applyFont="1" applyFill="1" applyBorder="1" applyAlignment="1">
      <x:alignment horizontal="center" vertical="center" wrapText="0"/>
    </x:xf>
    <x:xf numFmtId="207" fontId="7" fillId="5" borderId="1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horizontal="center" vertical="center"/>
    </x:xf>
    <x:xf numFmtId="207" fontId="1" fillId="3" borderId="0" xfId="0" applyNumberFormat="1" applyFont="1" applyFill="1" applyBorder="1" applyAlignment="1">
      <x:alignment horizontal="center" vertical="center"/>
    </x:xf>
    <x:xf numFmtId="207" fontId="1" fillId="3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vertical="center" wrapText="0"/>
    </x:xf>
    <x:xf numFmtId="208" fontId="1" fillId="3" borderId="1" xfId="0" applyNumberFormat="1" applyFont="1" applyFill="1" applyBorder="1" applyAlignment="1">
      <x:alignment vertical="center" wrapText="0"/>
    </x:xf>
    <x:xf numFmtId="208" fontId="1" fillId="4" borderId="1" xfId="0" applyNumberFormat="1" applyFont="1" applyFill="1" applyBorder="1" applyAlignment="1">
      <x:alignment vertical="center" wrapText="0"/>
    </x:xf>
    <x:xf numFmtId="201" fontId="4" fillId="2" borderId="0" xfId="0" applyNumberFormat="1" applyFont="1" applyFill="1" applyBorder="1" applyAlignment="1">
      <x:alignment vertical="center" wrapText="0"/>
    </x:xf>
    <x:xf numFmtId="0" fontId="8" fillId="2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a1b79ccfa4ce2" /><Relationship Type="http://schemas.openxmlformats.org/officeDocument/2006/relationships/theme" Target="/xl/theme/theme1.xml" Id="R7e59ca4184114c10" /><Relationship Type="http://schemas.openxmlformats.org/officeDocument/2006/relationships/sharedStrings" Target="/xl/sharedStrings.xml" Id="R3b94f9e63bae46db" /><Relationship Type="http://schemas.openxmlformats.org/officeDocument/2006/relationships/worksheet" Target="/xl/worksheets/sheet1.xml" Id="Rd4049195feca409a" /><Relationship Type="http://schemas.openxmlformats.org/officeDocument/2006/relationships/worksheet" Target="/xl/worksheets/sheet2.xml" Id="R97418976802743ac" /><Relationship Type="http://schemas.openxmlformats.org/officeDocument/2006/relationships/worksheet" Target="/xl/worksheets/sheet3.xml" Id="R4539d97594ef4705" /><Relationship Type="http://schemas.openxmlformats.org/officeDocument/2006/relationships/worksheet" Target="/xl/worksheets/sheet4.xml" Id="R2227dfa0f7ef46f7" /><Relationship Type="http://schemas.openxmlformats.org/officeDocument/2006/relationships/worksheet" Target="/xl/worksheets/sheet5.xml" Id="Rf0796880e7d24408" /><Relationship Type="http://schemas.openxmlformats.org/officeDocument/2006/relationships/worksheet" Target="/xl/worksheets/sheet6.xml" Id="R0088d82db1a3499f" /><Relationship Type="http://schemas.openxmlformats.org/officeDocument/2006/relationships/worksheet" Target="/xl/worksheets/sheet7.xml" Id="R6c63953da7d941cd" /><Relationship Type="http://schemas.openxmlformats.org/officeDocument/2006/relationships/worksheet" Target="/xl/worksheets/sheet8.xml" Id="R1d114015b6974765" /><Relationship Type="http://schemas.openxmlformats.org/officeDocument/2006/relationships/worksheet" Target="/xl/worksheets/sheet9.xml" Id="R8e02fe4cc6614cc5" /><Relationship Type="http://schemas.openxmlformats.org/officeDocument/2006/relationships/worksheet" Target="/xl/worksheets/sheet10.xml" Id="R70830750b28e4ab3" /><Relationship Type="http://schemas.openxmlformats.org/officeDocument/2006/relationships/worksheet" Target="/xl/worksheets/sheet11.xml" Id="R2915d0e5de9f4729" /><Relationship Type="http://schemas.openxmlformats.org/officeDocument/2006/relationships/worksheet" Target="/xl/worksheets/sheet12.xml" Id="R697295e514d74cad" /><Relationship Type="http://schemas.openxmlformats.org/officeDocument/2006/relationships/worksheet" Target="/xl/worksheets/sheet13.xml" Id="Rd1309eb94411442b" /><Relationship Type="http://schemas.openxmlformats.org/officeDocument/2006/relationships/worksheet" Target="/xl/worksheets/sheet14.xml" Id="Ref5022c9d31e4fc7" /><Relationship Type="http://schemas.openxmlformats.org/officeDocument/2006/relationships/worksheet" Target="/xl/worksheets/sheet15.xml" Id="R1fe97897ba734b20" /><Relationship Type="http://schemas.openxmlformats.org/officeDocument/2006/relationships/worksheet" Target="/xl/worksheets/sheet16.xml" Id="R4f95d9c1c59a4938" /><Relationship Type="http://schemas.openxmlformats.org/officeDocument/2006/relationships/worksheet" Target="/xl/worksheets/sheet17.xml" Id="Rcd072bdfda2e46f5" /><Relationship Type="http://schemas.openxmlformats.org/officeDocument/2006/relationships/worksheet" Target="/xl/worksheets/sheet18.xml" Id="R6c06d9f40bfa4ab2" /><Relationship Type="http://schemas.openxmlformats.org/officeDocument/2006/relationships/worksheet" Target="/xl/worksheets/sheet19.xml" Id="Reae48bc256664b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21999979019165" hidden="0" customWidth="1"/>
    <x:col min="2" max="2" width="17.780000686645508" hidden="0" customWidth="1"/>
    <x:col min="3" max="3" width="16.670000076293945" hidden="0" customWidth="1"/>
    <x:col min="4" max="4" width="14.4399995803833" hidden="0" customWidth="1"/>
    <x:col min="5" max="5" width="13.329999923706055" hidden="0" customWidth="1"/>
    <x:col min="6" max="6" width="13.329999923706055" hidden="0" customWidth="1"/>
    <x:col min="7" max="7" width="14.4399995803833" hidden="0" customWidth="1"/>
    <x:col min="8" max="8" width="15.5600004196167" hidden="0" customWidth="1"/>
    <x:col min="9" max="9" width="18.889999389648438" hidden="0" customWidth="1"/>
  </x:cols>
  <x:sheetData>
    <x:row r="1" ht="43" customHeight="1">
      <x:c r="A1" s="4" t="str">
        <x:v>AI 基础设施：投资排序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5" t="str">
        <x:v>研究日 2026-09-05；报价日 2026-09-04；目标期 24 个月；币种为当地交易币。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8" customHeight="1">
      <x:c r="A4" s="8" t="str">
        <x:v>排序</x:v>
      </x:c>
      <x:c r="B4" s="8" t="str">
        <x:v>公司</x:v>
      </x:c>
      <x:c r="C4" s="8" t="str">
        <x:v>证券</x:v>
      </x:c>
      <x:c r="D4" s="8" t="str">
        <x:v>现价</x:v>
      </x:c>
      <x:c r="E4" s="8" t="str">
        <x:v>基准年化</x:v>
      </x:c>
      <x:c r="F4" s="8" t="str">
        <x:v>悲观总回报</x:v>
      </x:c>
      <x:c r="G4" s="8" t="str">
        <x:v>乐观总回报</x:v>
      </x:c>
      <x:c r="H4" s="8" t="str">
        <x:v>买入上限</x:v>
      </x:c>
      <x:c r="I4" s="8" t="str">
        <x:v>当前动作</x:v>
      </x:c>
    </x:row>
    <x:row r="5" ht="39" customHeight="1">
      <x:c r="A5" s="10" t="n">
        <x:v>1</x:v>
      </x:c>
      <x:c r="B5" s="10" t="str">
        <x:v>台积电</x:v>
      </x:c>
      <x:c r="C5" s="10" t="str">
        <x:v>2330.TW</x:v>
      </x:c>
      <x:c r="D5" s="11" t="n">
        <x:f>'台积电'!B5</x:f>
        <x:v>2410</x:v>
      </x:c>
      <x:c r="E5" s="12" t="n">
        <x:f>'台积电'!C31</x:f>
        <x:v>0.17857435659442022</x:v>
      </x:c>
      <x:c r="F5" s="12" t="n">
        <x:f>'台积电'!B30</x:f>
        <x:v>-0.21676910309607378</x:v>
      </x:c>
      <x:c r="G5" s="12" t="n">
        <x:f>'台积电'!D30</x:f>
        <x:v>1.0354616082249173</x:v>
      </x:c>
      <x:c r="H5" s="13" t="n">
        <x:f>'台积电'!C32</x:f>
        <x:v>2531.251726875542</x:v>
      </x:c>
      <x:c r="I5" s="10" t="str">
        <x:f>IF('台积电'!C31&gt;='台积电'!B7,"可分批买入","等待价格")</x:f>
        <x:v>可分批买入</x:v>
      </x:c>
    </x:row>
    <x:row r="6" ht="39" customHeight="1">
      <x:c r="A6" s="15" t="n">
        <x:v>2</x:v>
      </x:c>
      <x:c r="B6" s="15" t="str">
        <x:v>Talen</x:v>
      </x:c>
      <x:c r="C6" s="15" t="str">
        <x:v>TLN</x:v>
      </x:c>
      <x:c r="D6" s="16" t="n">
        <x:f>'Talen'!B5</x:f>
        <x:v>317</x:v>
      </x:c>
      <x:c r="E6" s="17" t="n">
        <x:f>'Talen'!C31</x:f>
        <x:v>0.19429547511023104</x:v>
      </x:c>
      <x:c r="F6" s="17" t="n">
        <x:f>'Talen'!B30</x:f>
        <x:v>-0.5555606778053648</x:v>
      </x:c>
      <x:c r="G6" s="17" t="n">
        <x:f>'Talen'!D30</x:f>
        <x:v>1.0160231291531385</x:v>
      </x:c>
      <x:c r="H6" s="18" t="n">
        <x:f>'Talen'!C32</x:f>
        <x:v>341.8905959564468</x:v>
      </x:c>
      <x:c r="I6" s="15" t="str">
        <x:f>IF('Talen'!C31&gt;='Talen'!B7,"可小额分批买入","等待价格")</x:f>
        <x:v>可小额分批买入</x:v>
      </x:c>
    </x:row>
    <x:row r="7" ht="39" customHeight="1">
      <x:c r="A7" s="10" t="n">
        <x:v>3</x:v>
      </x:c>
      <x:c r="B7" s="10" t="str">
        <x:v>NVIDIA</x:v>
      </x:c>
      <x:c r="C7" s="10" t="str">
        <x:v>NVDA</x:v>
      </x:c>
      <x:c r="D7" s="11" t="n">
        <x:f>'NVIDIA'!B5</x:f>
        <x:v>230.36</x:v>
      </x:c>
      <x:c r="E7" s="12" t="n">
        <x:f>'NVIDIA'!C31</x:f>
        <x:v>0.13392058232374549</x:v>
      </x:c>
      <x:c r="F7" s="12" t="n">
        <x:f>'NVIDIA'!B30</x:f>
        <x:v>-0.4884014727613566</x:v>
      </x:c>
      <x:c r="G7" s="12" t="n">
        <x:f>'NVIDIA'!D30</x:f>
        <x:v>1.0231107646495952</x:v>
      </x:c>
      <x:c r="H7" s="13" t="n">
        <x:f>'NVIDIA'!C32</x:f>
        <x:v>223.96320100819162</x:v>
      </x:c>
      <x:c r="I7" s="10" t="str">
        <x:f>IF('NVIDIA'!C31&gt;='NVIDIA'!B7,"可分批买入","等待价格")</x:f>
        <x:v>等待价格</x:v>
      </x:c>
    </x:row>
    <x:row r="8" ht="39" customHeight="1">
      <x:c r="A8" s="15" t="n">
        <x:v>4</x:v>
      </x:c>
      <x:c r="B8" s="15" t="str">
        <x:v>施耐德</x:v>
      </x:c>
      <x:c r="C8" s="15" t="str">
        <x:v>SU.PA</x:v>
      </x:c>
      <x:c r="D8" s="16" t="n">
        <x:f>'施耐德'!B5</x:f>
        <x:v>288</x:v>
      </x:c>
      <x:c r="E8" s="17" t="n">
        <x:f>'施耐德'!C31</x:f>
        <x:v>0.11749076885929699</x:v>
      </x:c>
      <x:c r="F8" s="17" t="n">
        <x:f>'施耐德'!B30</x:f>
        <x:v>-0.3017918647660818</x:v>
      </x:c>
      <x:c r="G8" s="17" t="n">
        <x:f>'施耐德'!D30</x:f>
        <x:v>0.7159463180555556</x:v>
      </x:c>
      <x:c r="H8" s="18" t="n">
        <x:f>'施耐德'!C32</x:f>
        <x:v>271.947265122037</x:v>
      </x:c>
      <x:c r="I8" s="15" t="str">
        <x:f>IF('施耐德'!C31&gt;='施耐德'!B7,"可分批买入","等待价格")</x:f>
        <x:v>等待价格</x:v>
      </x:c>
    </x:row>
    <x:row r="9" ht="39" customHeight="1">
      <x:c r="A9" s="10" t="n">
        <x:v>5</x:v>
      </x:c>
      <x:c r="B9" s="10" t="str">
        <x:v>西门子能源</x:v>
      </x:c>
      <x:c r="C9" s="10" t="str">
        <x:v>ENR.DE</x:v>
      </x:c>
      <x:c r="D9" s="11" t="n">
        <x:f>'西门子能源'!B5</x:f>
        <x:v>146.52</x:v>
      </x:c>
      <x:c r="E9" s="12" t="n">
        <x:f>'西门子能源'!C31</x:f>
        <x:v>0.07132259980900457</x:v>
      </x:c>
      <x:c r="F9" s="12" t="n">
        <x:f>'西门子能源'!B30</x:f>
        <x:v>-0.4944895958326192</x:v>
      </x:c>
      <x:c r="G9" s="12" t="n">
        <x:f>'西门子能源'!D30</x:f>
        <x:v>0.7863702439510825</x:v>
      </x:c>
      <x:c r="H9" s="13" t="n">
        <x:f>'西门子能源'!C32</x:f>
        <x:v>127.15743605026134</x:v>
      </x:c>
      <x:c r="I9" s="10" t="str">
        <x:f>IF('西门子能源'!C31&gt;='西门子能源'!B7,"可分批买入","等待价格")</x:f>
        <x:v>等待价格</x:v>
      </x:c>
    </x:row>
    <x:row r="10" ht="39" customHeight="1">
      <x:c r="A10" s="15" t="n">
        <x:v>6</x:v>
      </x:c>
      <x:c r="B10" s="15" t="str">
        <x:v>Broadcom</x:v>
      </x:c>
      <x:c r="C10" s="15" t="str">
        <x:v>AVGO</x:v>
      </x:c>
      <x:c r="D10" s="16" t="n">
        <x:f>'Broadcom'!B5</x:f>
        <x:v>357.9</x:v>
      </x:c>
      <x:c r="E10" s="17" t="n">
        <x:f>'Broadcom'!C31</x:f>
        <x:v>0.07042643704864493</x:v>
      </x:c>
      <x:c r="F10" s="17" t="n">
        <x:f>'Broadcom'!B30</x:f>
        <x:v>-0.4852675732469909</x:v>
      </x:c>
      <x:c r="G10" s="17" t="n">
        <x:f>'Broadcom'!D30</x:f>
        <x:v>0.8145491813925907</x:v>
      </x:c>
      <x:c r="H10" s="18" t="n">
        <x:f>'Broadcom'!C32</x:f>
        <x:v>310.08422365049364</x:v>
      </x:c>
      <x:c r="I10" s="15" t="str">
        <x:f>IF('Broadcom'!C31&gt;='Broadcom'!B7,"可分批买入","等待价格")</x:f>
        <x:v>等待价格</x:v>
      </x:c>
    </x:row>
    <x:row r="11" ht="39" customHeight="1">
      <x:c r="A11" s="10" t="n">
        <x:v>7</x:v>
      </x:c>
      <x:c r="B11" s="10" t="str">
        <x:v>Vertiv</x:v>
      </x:c>
      <x:c r="C11" s="10" t="str">
        <x:v>VRT</x:v>
      </x:c>
      <x:c r="D11" s="11" t="n">
        <x:f>'Vertiv'!B5</x:f>
        <x:v>280.53</x:v>
      </x:c>
      <x:c r="E11" s="12" t="n">
        <x:f>'Vertiv'!C31</x:f>
        <x:v>0.06209746132616534</x:v>
      </x:c>
      <x:c r="F11" s="12" t="n">
        <x:f>'Vertiv'!B30</x:f>
        <x:v>-0.514167864795605</x:v>
      </x:c>
      <x:c r="G11" s="12" t="n">
        <x:f>'Vertiv'!D30</x:f>
        <x:v>0.7505884008931816</x:v>
      </x:c>
      <x:c r="H11" s="13" t="n">
        <x:f>'Vertiv'!C32</x:f>
        <x:v>239.28329066066863</x:v>
      </x:c>
      <x:c r="I11" s="10" t="str">
        <x:f>IF('Vertiv'!C31&gt;='Vertiv'!B7,"可分批买入","等待价格")</x:f>
        <x:v>等待价格</x:v>
      </x:c>
    </x:row>
    <x:row r="12" ht="39" customHeight="1">
      <x:c r="A12" s="15" t="n">
        <x:v>8</x:v>
      </x:c>
      <x:c r="B12" s="15" t="str">
        <x:v>Eaton</x:v>
      </x:c>
      <x:c r="C12" s="15" t="str">
        <x:v>ETN</x:v>
      </x:c>
      <x:c r="D12" s="16" t="n">
        <x:f>'Eaton'!B5</x:f>
        <x:v>410.85</x:v>
      </x:c>
      <x:c r="E12" s="17" t="n">
        <x:f>'Eaton'!C31</x:f>
        <x:v>0.010133458103630089</x:v>
      </x:c>
      <x:c r="F12" s="17" t="n">
        <x:f>'Eaton'!B30</x:f>
        <x:v>-0.4492175306827617</x:v>
      </x:c>
      <x:c r="G12" s="17" t="n">
        <x:f>'Eaton'!D30</x:f>
        <x:v>0.4747635351101378</x:v>
      </x:c>
      <x:c r="H12" s="18" t="n">
        <x:f>'Eaton'!C32</x:f>
        <x:v>316.98967974795215</x:v>
      </x:c>
      <x:c r="I12" s="15" t="str">
        <x:f>IF('Eaton'!C31&gt;='Eaton'!B7,"可分批买入","等待价格")</x:f>
        <x:v>等待价格</x:v>
      </x:c>
    </x:row>
    <x:row r="13" ht="39" customHeight="1">
      <x:c r="A13" s="10" t="n">
        <x:v>9</x:v>
      </x:c>
      <x:c r="B13" s="10" t="str">
        <x:v>SK 海力士</x:v>
      </x:c>
      <x:c r="C13" s="10" t="str">
        <x:v>000660.KS</x:v>
      </x:c>
      <x:c r="D13" s="11" t="n">
        <x:f>'SK海力士'!B5</x:f>
        <x:v>1647000</x:v>
      </x:c>
      <x:c r="E13" s="12" t="n">
        <x:f>'SK海力士'!C31</x:f>
        <x:v>0.032180807368688225</x:v>
      </x:c>
      <x:c r="F13" s="12" t="n">
        <x:f>'SK海力士'!B30</x:f>
        <x:v>-0.6778384942319369</x:v>
      </x:c>
      <x:c r="G13" s="12" t="n">
        <x:f>'SK海力士'!D30</x:f>
        <x:v>1.5554201447585108</x:v>
      </x:c>
      <x:c r="H13" s="13" t="n">
        <x:f>'SK海力士'!C32</x:f>
        <x:v>1326812.2645430295</x:v>
      </x:c>
      <x:c r="I13" s="10" t="str">
        <x:f>IF('SK海力士'!C31&gt;='SK海力士'!B7,"可分批买入","等待价格")</x:f>
        <x:v>等待价格</x:v>
      </x:c>
    </x:row>
    <x:row r="14" ht="39" customHeight="1">
      <x:c r="A14" s="15" t="n">
        <x:v>10</x:v>
      </x:c>
      <x:c r="B14" s="15" t="str">
        <x:v>Micron</x:v>
      </x:c>
      <x:c r="C14" s="15" t="str">
        <x:v>MU</x:v>
      </x:c>
      <x:c r="D14" s="16" t="n">
        <x:f>'Micron'!B5</x:f>
        <x:v>1016.59</x:v>
      </x:c>
      <x:c r="E14" s="17" t="n">
        <x:f>'Micron'!C31</x:f>
        <x:v>0.005930114879277415</x:v>
      </x:c>
      <x:c r="F14" s="17" t="n">
        <x:f>'Micron'!B30</x:f>
        <x:v>-0.7632980560829177</x:v>
      </x:c>
      <x:c r="G14" s="17" t="n">
        <x:f>'Micron'!D30</x:f>
        <x:v>1.0194289879148402</x:v>
      </x:c>
      <x:c r="H14" s="18" t="n">
        <x:f>'Micron'!C32</x:f>
        <x:v>777.8319399932141</x:v>
      </x:c>
      <x:c r="I14" s="15" t="str">
        <x:f>IF('Micron'!C31&gt;='Micron'!B7,"可分批买入","等待价格")</x:f>
        <x:v>等待价格</x:v>
      </x:c>
    </x:row>
    <x:row r="15" ht="39" customHeight="1">
      <x:c r="A15" s="10" t="n">
        <x:v>11</x:v>
      </x:c>
      <x:c r="B15" s="10" t="str">
        <x:v>GE Vernova</x:v>
      </x:c>
      <x:c r="C15" s="10" t="str">
        <x:v>GEV</x:v>
      </x:c>
      <x:c r="D15" s="11" t="n">
        <x:f>'GEV'!B5</x:f>
        <x:v>941.95</x:v>
      </x:c>
      <x:c r="E15" s="12" t="n">
        <x:f>'GEV'!C31</x:f>
        <x:v>-0.056268398976593303</x:v>
      </x:c>
      <x:c r="F15" s="12" t="n">
        <x:f>'GEV'!B30</x:f>
        <x:v>-0.6126153821328095</x:v>
      </x:c>
      <x:c r="G15" s="12" t="n">
        <x:f>'GEV'!D30</x:f>
        <x:v>0.5622717079400366</x:v>
      </x:c>
      <x:c r="H15" s="13" t="n">
        <x:f>'GEV'!C32</x:f>
        <x:v>634.3503227877447</x:v>
      </x:c>
      <x:c r="I15" s="10" t="str">
        <x:f>IF('GEV'!C31&gt;='GEV'!B7,"可分批买入","等待价格")</x:f>
        <x:v>等待价格</x:v>
      </x:c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35" customHeight="1">
      <x:c r="A17" s="9" t="str">
        <x:v>研究日判断：台积电台股第 1，Talen 第 2。Talen 基准回报更高，债务与电价风险也更大。</x:v>
      </x:c>
      <x:c r="B17" s="9"/>
      <x:c r="C17" s="9"/>
      <x:c r="D17" s="9"/>
      <x:c r="E17" s="9"/>
      <x:c r="F17" s="9"/>
      <x:c r="G17" s="9"/>
      <x:c r="H17" s="9"/>
      <x:c r="I17" s="9"/>
    </x:row>
    <x:row r="18" ht="35" customHeight="1">
      <x:c r="A18" s="9" t="str">
        <x:v>等待价格：NVIDIA、施耐德、西门子能源、Broadcom。Constellation 另列观察与门槛反算。</x:v>
      </x:c>
      <x:c r="B18" s="9"/>
      <x:c r="C18" s="9"/>
      <x:c r="D18" s="9"/>
      <x:c r="E18" s="9"/>
      <x:c r="F18" s="9"/>
      <x:c r="G18" s="9"/>
      <x:c r="H18" s="9"/>
      <x:c r="I18" s="9"/>
    </x:row>
    <x:row r="19" ht="35" customHeight="1">
      <x:c r="A19" s="9" t="str">
        <x:v>排序综合持续收益、资本开支、定价兑现和风险。Eaton 排在存储股前，体现较小的周期损失。</x:v>
      </x:c>
      <x:c r="B19" s="9"/>
      <x:c r="C19" s="9"/>
      <x:c r="D19" s="9"/>
      <x:c r="E19" s="9"/>
      <x:c r="F19" s="9"/>
      <x:c r="G19" s="9"/>
      <x:c r="H19" s="9"/>
      <x:c r="I19" s="9"/>
    </x:row>
    <x:row r="20" ht="35" customHeight="1">
      <x:c r="A20" s="9" t="str">
        <x:v>15% 年化为投委会研究门槛；无情景概率加权。股息以两年末收到近似，未计税、费用与汇率变动。</x:v>
      </x:c>
      <x:c r="B20" s="9"/>
      <x:c r="C20" s="9"/>
      <x:c r="D20" s="9"/>
      <x:c r="E20" s="9"/>
      <x:c r="F20" s="9"/>
      <x:c r="G20" s="9"/>
      <x:c r="H20" s="9"/>
      <x:c r="I20" s="9"/>
    </x:row>
    <x:row r="21" ht="35" customHeight="1">
      <x:c r="A21" s="9" t="str">
        <x:v>悲观情景不是最大损失。台湾冲突、出口禁令、需求骤降和融资中断可能造成更大损失。</x:v>
      </x:c>
      <x:c r="B21" s="9"/>
      <x:c r="C21" s="9"/>
      <x:c r="D21" s="9"/>
      <x:c r="E21" s="9"/>
      <x:c r="F21" s="9"/>
      <x:c r="G21" s="9"/>
      <x:c r="H21" s="9"/>
      <x:c r="I21" s="9"/>
    </x:row>
    <x:row r="22" ht="35" customHeight="1">
      <x:c r="A22" s="9" t="str">
        <x:v>蓝字为输入，黑字为公式。修改输入后数值与动作重算；投资排序和文字需重新审议。</x:v>
      </x:c>
      <x:c r="B22" s="9"/>
      <x:c r="C22" s="9"/>
      <x:c r="D22" s="9"/>
      <x:c r="E22" s="9"/>
      <x:c r="F22" s="9"/>
      <x:c r="G22" s="9"/>
      <x:c r="H22" s="9"/>
      <x:c r="I22" s="9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</x:row>
    <x:row r="101" ht="23" customHeight="1">
      <x:c r="A101" s="2"/>
      <x:c r="B101" s="2"/>
      <x:c r="C101" s="2"/>
      <x:c r="D101" s="2"/>
      <x:c r="E101" s="2"/>
      <x:c r="F101" s="2"/>
      <x:c r="G101" s="2"/>
      <x:c r="H101" s="2"/>
      <x:c r="I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 ht="23" customHeight="1">
      <x:c r="A110" s="2"/>
      <x:c r="B110" s="2"/>
      <x:c r="C110" s="2"/>
      <x:c r="D110" s="2"/>
      <x:c r="E110" s="2"/>
      <x:c r="F110" s="2"/>
      <x:c r="G110" s="2"/>
      <x:c r="H110" s="2"/>
      <x:c r="I110" s="2"/>
    </x:row>
    <x:row r="111" ht="23" customHeight="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 ht="23" customHeight="1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 ht="23" customHeight="1">
      <x:c r="A115" s="2"/>
      <x:c r="B115" s="2"/>
      <x:c r="C115" s="2"/>
      <x:c r="D115" s="2"/>
      <x:c r="E115" s="2"/>
      <x:c r="F115" s="2"/>
      <x:c r="G115" s="2"/>
      <x:c r="H115" s="2"/>
      <x:c r="I115" s="2"/>
    </x:row>
    <x:row r="116" ht="23" customHeight="1">
      <x:c r="A116" s="2"/>
      <x:c r="B116" s="2"/>
      <x:c r="C116" s="2"/>
      <x:c r="D116" s="2"/>
      <x:c r="E116" s="2"/>
      <x:c r="F116" s="2"/>
      <x:c r="G116" s="2"/>
      <x:c r="H116" s="2"/>
      <x:c r="I116" s="2"/>
    </x:row>
    <x:row r="117" ht="23" customHeight="1">
      <x:c r="A117" s="2"/>
      <x:c r="B117" s="2"/>
      <x:c r="C117" s="2"/>
      <x:c r="D117" s="2"/>
      <x:c r="E117" s="2"/>
      <x:c r="F117" s="2"/>
      <x:c r="G117" s="2"/>
      <x:c r="H117" s="2"/>
      <x:c r="I117" s="2"/>
    </x:row>
    <x:row r="118" ht="23" customHeight="1">
      <x:c r="A118" s="2"/>
      <x:c r="B118" s="2"/>
      <x:c r="C118" s="2"/>
      <x:c r="D118" s="2"/>
      <x:c r="E118" s="2"/>
      <x:c r="F118" s="2"/>
      <x:c r="G118" s="2"/>
      <x:c r="H118" s="2"/>
      <x:c r="I118" s="2"/>
    </x:row>
    <x:row r="119" ht="23" customHeight="1">
      <x:c r="A119" s="2"/>
      <x:c r="B119" s="2"/>
      <x:c r="C119" s="2"/>
      <x:c r="D119" s="2"/>
      <x:c r="E119" s="2"/>
      <x:c r="F119" s="2"/>
      <x:c r="G119" s="2"/>
      <x:c r="H119" s="2"/>
      <x:c r="I119" s="2"/>
    </x:row>
    <x:row r="120" ht="23" customHeight="1">
      <x:c r="A120" s="2"/>
      <x:c r="B120" s="2"/>
      <x:c r="C120" s="2"/>
      <x:c r="D120" s="2"/>
      <x:c r="E120" s="2"/>
      <x:c r="F120" s="2"/>
      <x:c r="G120" s="2"/>
      <x:c r="H120" s="2"/>
      <x:c r="I120" s="2"/>
    </x:row>
    <x:row r="121" ht="23" customHeight="1">
      <x:c r="A121" s="2"/>
      <x:c r="B121" s="2"/>
      <x:c r="C121" s="2"/>
      <x:c r="D121" s="2"/>
      <x:c r="E121" s="2"/>
      <x:c r="F121" s="2"/>
      <x:c r="G121" s="2"/>
      <x:c r="H121" s="2"/>
      <x:c r="I121" s="2"/>
    </x:row>
    <x:row r="122" ht="23" customHeight="1">
      <x:c r="A122" s="2"/>
      <x:c r="B122" s="2"/>
      <x:c r="C122" s="2"/>
      <x:c r="D122" s="2"/>
      <x:c r="E122" s="2"/>
      <x:c r="F122" s="2"/>
      <x:c r="G122" s="2"/>
      <x:c r="H122" s="2"/>
      <x:c r="I122" s="2"/>
    </x:row>
    <x:row r="123" ht="23" customHeight="1">
      <x:c r="A123" s="2"/>
      <x:c r="B123" s="2"/>
      <x:c r="C123" s="2"/>
      <x:c r="D123" s="2"/>
      <x:c r="E123" s="2"/>
      <x:c r="F123" s="2"/>
      <x:c r="G123" s="2"/>
      <x:c r="H123" s="2"/>
      <x:c r="I123" s="2"/>
    </x:row>
    <x:row r="124" ht="23" customHeight="1">
      <x:c r="A124" s="2"/>
      <x:c r="B124" s="2"/>
      <x:c r="C124" s="2"/>
      <x:c r="D124" s="2"/>
      <x:c r="E124" s="2"/>
      <x:c r="F124" s="2"/>
      <x:c r="G124" s="2"/>
      <x:c r="H124" s="2"/>
      <x:c r="I124" s="2"/>
    </x:row>
    <x:row r="125" ht="23" customHeight="1">
      <x:c r="A125" s="2"/>
      <x:c r="B125" s="2"/>
      <x:c r="C125" s="2"/>
      <x:c r="D125" s="2"/>
      <x:c r="E125" s="2"/>
      <x:c r="F125" s="2"/>
      <x:c r="G125" s="2"/>
      <x:c r="H125" s="2"/>
      <x:c r="I125" s="2"/>
    </x:row>
    <x:row r="126" ht="23" customHeight="1">
      <x:c r="A126" s="2"/>
      <x:c r="B126" s="2"/>
      <x:c r="C126" s="2"/>
      <x:c r="D126" s="2"/>
      <x:c r="E126" s="2"/>
      <x:c r="F126" s="2"/>
      <x:c r="G126" s="2"/>
      <x:c r="H126" s="2"/>
      <x:c r="I126" s="2"/>
    </x:row>
    <x:row r="127" ht="23" customHeight="1">
      <x:c r="A127" s="2"/>
      <x:c r="B127" s="2"/>
      <x:c r="C127" s="2"/>
      <x:c r="D127" s="2"/>
      <x:c r="E127" s="2"/>
      <x:c r="F127" s="2"/>
      <x:c r="G127" s="2"/>
      <x:c r="H127" s="2"/>
      <x:c r="I127" s="2"/>
    </x:row>
    <x:row r="128" ht="23" customHeight="1">
      <x:c r="A128" s="2"/>
      <x:c r="B128" s="2"/>
      <x:c r="C128" s="2"/>
      <x:c r="D128" s="2"/>
      <x:c r="E128" s="2"/>
      <x:c r="F128" s="2"/>
      <x:c r="G128" s="2"/>
      <x:c r="H128" s="2"/>
      <x:c r="I128" s="2"/>
    </x:row>
    <x:row r="129" ht="23" customHeight="1">
      <x:c r="A129" s="2"/>
      <x:c r="B129" s="2"/>
      <x:c r="C129" s="2"/>
      <x:c r="D129" s="2"/>
      <x:c r="E129" s="2"/>
      <x:c r="F129" s="2"/>
      <x:c r="G129" s="2"/>
      <x:c r="H129" s="2"/>
      <x:c r="I129" s="2"/>
    </x:row>
    <x:row r="130" ht="23" customHeight="1">
      <x:c r="A130" s="2"/>
      <x:c r="B130" s="2"/>
      <x:c r="C130" s="2"/>
      <x:c r="D130" s="2"/>
      <x:c r="E130" s="2"/>
      <x:c r="F130" s="2"/>
      <x:c r="G130" s="2"/>
      <x:c r="H130" s="2"/>
      <x:c r="I130" s="2"/>
    </x:row>
    <x:row r="131" ht="23" customHeight="1">
      <x:c r="A131" s="2"/>
      <x:c r="B131" s="2"/>
      <x:c r="C131" s="2"/>
      <x:c r="D131" s="2"/>
      <x:c r="E131" s="2"/>
      <x:c r="F131" s="2"/>
      <x:c r="G131" s="2"/>
      <x:c r="H131" s="2"/>
      <x:c r="I131" s="2"/>
    </x:row>
    <x:row r="132" ht="23" customHeight="1">
      <x:c r="A132" s="2"/>
      <x:c r="B132" s="2"/>
      <x:c r="C132" s="2"/>
      <x:c r="D132" s="2"/>
      <x:c r="E132" s="2"/>
      <x:c r="F132" s="2"/>
      <x:c r="G132" s="2"/>
      <x:c r="H132" s="2"/>
      <x:c r="I132" s="2"/>
    </x:row>
    <x:row r="133" ht="23" customHeight="1">
      <x:c r="A133" s="2"/>
      <x:c r="B133" s="2"/>
      <x:c r="C133" s="2"/>
      <x:c r="D133" s="2"/>
      <x:c r="E133" s="2"/>
      <x:c r="F133" s="2"/>
      <x:c r="G133" s="2"/>
      <x:c r="H133" s="2"/>
      <x:c r="I133" s="2"/>
    </x:row>
    <x:row r="134" ht="23" customHeight="1">
      <x:c r="A134" s="2"/>
      <x:c r="B134" s="2"/>
      <x:c r="C134" s="2"/>
      <x:c r="D134" s="2"/>
      <x:c r="E134" s="2"/>
      <x:c r="F134" s="2"/>
      <x:c r="G134" s="2"/>
      <x:c r="H134" s="2"/>
      <x:c r="I134" s="2"/>
    </x:row>
    <x:row r="135" ht="23" customHeight="1">
      <x:c r="A135" s="2"/>
      <x:c r="B135" s="2"/>
      <x:c r="C135" s="2"/>
      <x:c r="D135" s="2"/>
      <x:c r="E135" s="2"/>
      <x:c r="F135" s="2"/>
      <x:c r="G135" s="2"/>
      <x:c r="H135" s="2"/>
      <x:c r="I135" s="2"/>
    </x:row>
    <x:row r="136" ht="23" customHeight="1">
      <x:c r="A136" s="2"/>
      <x:c r="B136" s="2"/>
      <x:c r="C136" s="2"/>
      <x:c r="D136" s="2"/>
      <x:c r="E136" s="2"/>
      <x:c r="F136" s="2"/>
      <x:c r="G136" s="2"/>
      <x:c r="H136" s="2"/>
      <x:c r="I136" s="2"/>
    </x:row>
    <x:row r="137" ht="23" customHeight="1">
      <x:c r="A137" s="2"/>
      <x:c r="B137" s="2"/>
      <x:c r="C137" s="2"/>
      <x:c r="D137" s="2"/>
      <x:c r="E137" s="2"/>
      <x:c r="F137" s="2"/>
      <x:c r="G137" s="2"/>
      <x:c r="H137" s="2"/>
      <x:c r="I137" s="2"/>
    </x:row>
    <x:row r="138" ht="23" customHeight="1">
      <x:c r="A138" s="2"/>
      <x:c r="B138" s="2"/>
      <x:c r="C138" s="2"/>
      <x:c r="D138" s="2"/>
      <x:c r="E138" s="2"/>
      <x:c r="F138" s="2"/>
      <x:c r="G138" s="2"/>
      <x:c r="H138" s="2"/>
      <x:c r="I138" s="2"/>
    </x:row>
    <x:row r="139" ht="23" customHeight="1">
      <x:c r="A139" s="2"/>
      <x:c r="B139" s="2"/>
      <x:c r="C139" s="2"/>
      <x:c r="D139" s="2"/>
      <x:c r="E139" s="2"/>
      <x:c r="F139" s="2"/>
      <x:c r="G139" s="2"/>
      <x:c r="H139" s="2"/>
      <x:c r="I139" s="2"/>
    </x:row>
    <x:row r="140" ht="23" customHeight="1">
      <x:c r="A140" s="2"/>
      <x:c r="B140" s="2"/>
      <x:c r="C140" s="2"/>
      <x:c r="D140" s="2"/>
      <x:c r="E140" s="2"/>
      <x:c r="F140" s="2"/>
      <x:c r="G140" s="2"/>
      <x:c r="H140" s="2"/>
      <x:c r="I140" s="2"/>
    </x:row>
    <x:row r="141" ht="23" customHeight="1">
      <x:c r="A141" s="2"/>
      <x:c r="B141" s="2"/>
      <x:c r="C141" s="2"/>
      <x:c r="D141" s="2"/>
      <x:c r="E141" s="2"/>
      <x:c r="F141" s="2"/>
      <x:c r="G141" s="2"/>
      <x:c r="H141" s="2"/>
      <x:c r="I141" s="2"/>
    </x:row>
    <x:row r="142" ht="23" customHeight="1">
      <x:c r="A142" s="2"/>
      <x:c r="B142" s="2"/>
      <x:c r="C142" s="2"/>
      <x:c r="D142" s="2"/>
      <x:c r="E142" s="2"/>
      <x:c r="F142" s="2"/>
      <x:c r="G142" s="2"/>
      <x:c r="H142" s="2"/>
      <x:c r="I142" s="2"/>
    </x:row>
    <x:row r="143" ht="23" customHeight="1">
      <x:c r="A143" s="2"/>
      <x:c r="B143" s="2"/>
      <x:c r="C143" s="2"/>
      <x:c r="D143" s="2"/>
      <x:c r="E143" s="2"/>
      <x:c r="F143" s="2"/>
      <x:c r="G143" s="2"/>
      <x:c r="H143" s="2"/>
      <x:c r="I143" s="2"/>
    </x:row>
    <x:row r="144" ht="23" customHeight="1">
      <x:c r="A144" s="2"/>
      <x:c r="B144" s="2"/>
      <x:c r="C144" s="2"/>
      <x:c r="D144" s="2"/>
      <x:c r="E144" s="2"/>
      <x:c r="F144" s="2"/>
      <x:c r="G144" s="2"/>
      <x:c r="H144" s="2"/>
      <x:c r="I144" s="2"/>
    </x:row>
    <x:row r="145" ht="23" customHeight="1">
      <x:c r="A145" s="2"/>
      <x:c r="B145" s="2"/>
      <x:c r="C145" s="2"/>
      <x:c r="D145" s="2"/>
      <x:c r="E145" s="2"/>
      <x:c r="F145" s="2"/>
      <x:c r="G145" s="2"/>
      <x:c r="H145" s="2"/>
      <x:c r="I145" s="2"/>
    </x:row>
    <x:row r="146" ht="23" customHeight="1">
      <x:c r="A146" s="2"/>
      <x:c r="B146" s="2"/>
      <x:c r="C146" s="2"/>
      <x:c r="D146" s="2"/>
      <x:c r="E146" s="2"/>
      <x:c r="F146" s="2"/>
      <x:c r="G146" s="2"/>
      <x:c r="H146" s="2"/>
      <x:c r="I146" s="2"/>
    </x:row>
    <x:row r="147" ht="23" customHeight="1">
      <x:c r="A147" s="2"/>
      <x:c r="B147" s="2"/>
      <x:c r="C147" s="2"/>
      <x:c r="D147" s="2"/>
      <x:c r="E147" s="2"/>
      <x:c r="F147" s="2"/>
      <x:c r="G147" s="2"/>
      <x:c r="H147" s="2"/>
      <x:c r="I147" s="2"/>
    </x:row>
    <x:row r="148" ht="23" customHeight="1">
      <x:c r="A148" s="2"/>
      <x:c r="B148" s="2"/>
      <x:c r="C148" s="2"/>
      <x:c r="D148" s="2"/>
      <x:c r="E148" s="2"/>
      <x:c r="F148" s="2"/>
      <x:c r="G148" s="2"/>
      <x:c r="H148" s="2"/>
      <x:c r="I148" s="2"/>
    </x:row>
    <x:row r="149" ht="23" customHeight="1">
      <x:c r="A149" s="2"/>
      <x:c r="B149" s="2"/>
      <x:c r="C149" s="2"/>
      <x:c r="D149" s="2"/>
      <x:c r="E149" s="2"/>
      <x:c r="F149" s="2"/>
      <x:c r="G149" s="2"/>
      <x:c r="H149" s="2"/>
      <x:c r="I149" s="2"/>
    </x:row>
    <x:row r="150" ht="23" customHeight="1">
      <x:c r="A150" s="2"/>
      <x:c r="B150" s="2"/>
      <x:c r="C150" s="2"/>
      <x:c r="D150" s="2"/>
      <x:c r="E150" s="2"/>
      <x:c r="F150" s="2"/>
      <x:c r="G150" s="2"/>
      <x:c r="H150" s="2"/>
      <x:c r="I150" s="2"/>
    </x:row>
    <x:row r="151" ht="23" customHeight="1">
      <x:c r="A151" s="2"/>
      <x:c r="B151" s="2"/>
      <x:c r="C151" s="2"/>
      <x:c r="D151" s="2"/>
      <x:c r="E151" s="2"/>
      <x:c r="F151" s="2"/>
      <x:c r="G151" s="2"/>
      <x:c r="H151" s="2"/>
      <x:c r="I151" s="2"/>
    </x:row>
    <x:row r="152" ht="23" customHeight="1">
      <x:c r="A152" s="2"/>
      <x:c r="B152" s="2"/>
      <x:c r="C152" s="2"/>
      <x:c r="D152" s="2"/>
      <x:c r="E152" s="2"/>
      <x:c r="F152" s="2"/>
      <x:c r="G152" s="2"/>
      <x:c r="H152" s="2"/>
      <x:c r="I152" s="2"/>
    </x:row>
    <x:row r="153" ht="23" customHeight="1">
      <x:c r="A153" s="2"/>
      <x:c r="B153" s="2"/>
      <x:c r="C153" s="2"/>
      <x:c r="D153" s="2"/>
      <x:c r="E153" s="2"/>
      <x:c r="F153" s="2"/>
      <x:c r="G153" s="2"/>
      <x:c r="H153" s="2"/>
      <x:c r="I153" s="2"/>
    </x:row>
    <x:row r="154" ht="23" customHeight="1">
      <x:c r="A154" s="2"/>
      <x:c r="B154" s="2"/>
      <x:c r="C154" s="2"/>
      <x:c r="D154" s="2"/>
      <x:c r="E154" s="2"/>
      <x:c r="F154" s="2"/>
      <x:c r="G154" s="2"/>
      <x:c r="H154" s="2"/>
      <x:c r="I154" s="2"/>
    </x:row>
    <x:row r="155" ht="23" customHeight="1">
      <x:c r="A155" s="2"/>
      <x:c r="B155" s="2"/>
      <x:c r="C155" s="2"/>
      <x:c r="D155" s="2"/>
      <x:c r="E155" s="2"/>
      <x:c r="F155" s="2"/>
      <x:c r="G155" s="2"/>
      <x:c r="H155" s="2"/>
      <x:c r="I155" s="2"/>
    </x:row>
    <x:row r="156" ht="23" customHeight="1">
      <x:c r="A156" s="2"/>
      <x:c r="B156" s="2"/>
      <x:c r="C156" s="2"/>
      <x:c r="D156" s="2"/>
      <x:c r="E156" s="2"/>
      <x:c r="F156" s="2"/>
      <x:c r="G156" s="2"/>
      <x:c r="H156" s="2"/>
      <x:c r="I156" s="2"/>
    </x:row>
    <x:row r="157" ht="23" customHeight="1">
      <x:c r="A157" s="2"/>
      <x:c r="B157" s="2"/>
      <x:c r="C157" s="2"/>
      <x:c r="D157" s="2"/>
      <x:c r="E157" s="2"/>
      <x:c r="F157" s="2"/>
      <x:c r="G157" s="2"/>
      <x:c r="H157" s="2"/>
      <x:c r="I157" s="2"/>
    </x:row>
    <x:row r="158" ht="23" customHeight="1">
      <x:c r="A158" s="2"/>
      <x:c r="B158" s="2"/>
      <x:c r="C158" s="2"/>
      <x:c r="D158" s="2"/>
      <x:c r="E158" s="2"/>
      <x:c r="F158" s="2"/>
      <x:c r="G158" s="2"/>
      <x:c r="H158" s="2"/>
      <x:c r="I158" s="2"/>
    </x:row>
    <x:row r="159" ht="23" customHeight="1">
      <x:c r="A159" s="2"/>
      <x:c r="B159" s="2"/>
      <x:c r="C159" s="2"/>
      <x:c r="D159" s="2"/>
      <x:c r="E159" s="2"/>
      <x:c r="F159" s="2"/>
      <x:c r="G159" s="2"/>
      <x:c r="H159" s="2"/>
      <x:c r="I159" s="2"/>
    </x:row>
    <x:row r="160" ht="23" customHeight="1">
      <x:c r="A160" s="2"/>
      <x:c r="B160" s="2"/>
      <x:c r="C160" s="2"/>
      <x:c r="D160" s="2"/>
      <x:c r="E160" s="2"/>
      <x:c r="F160" s="2"/>
      <x:c r="G160" s="2"/>
      <x:c r="H160" s="2"/>
      <x:c r="I160" s="2"/>
    </x:row>
    <x:row r="161" ht="23" customHeight="1">
      <x:c r="A161" s="2"/>
      <x:c r="B161" s="2"/>
      <x:c r="C161" s="2"/>
      <x:c r="D161" s="2"/>
      <x:c r="E161" s="2"/>
      <x:c r="F161" s="2"/>
      <x:c r="G161" s="2"/>
      <x:c r="H161" s="2"/>
      <x:c r="I161" s="2"/>
    </x:row>
    <x:row r="162" ht="23" customHeight="1">
      <x:c r="A162" s="2"/>
      <x:c r="B162" s="2"/>
      <x:c r="C162" s="2"/>
      <x:c r="D162" s="2"/>
      <x:c r="E162" s="2"/>
      <x:c r="F162" s="2"/>
      <x:c r="G162" s="2"/>
      <x:c r="H162" s="2"/>
      <x:c r="I162" s="2"/>
    </x:row>
    <x:row r="163" ht="23" customHeight="1">
      <x:c r="A163" s="2"/>
      <x:c r="B163" s="2"/>
      <x:c r="C163" s="2"/>
      <x:c r="D163" s="2"/>
      <x:c r="E163" s="2"/>
      <x:c r="F163" s="2"/>
      <x:c r="G163" s="2"/>
      <x:c r="H163" s="2"/>
      <x:c r="I163" s="2"/>
    </x:row>
    <x:row r="164" ht="23" customHeight="1">
      <x:c r="A164" s="2"/>
      <x:c r="B164" s="2"/>
      <x:c r="C164" s="2"/>
      <x:c r="D164" s="2"/>
      <x:c r="E164" s="2"/>
      <x:c r="F164" s="2"/>
      <x:c r="G164" s="2"/>
      <x:c r="H164" s="2"/>
      <x:c r="I164" s="2"/>
    </x:row>
    <x:row r="165" ht="23" customHeight="1">
      <x:c r="A165" s="2"/>
      <x:c r="B165" s="2"/>
      <x:c r="C165" s="2"/>
      <x:c r="D165" s="2"/>
      <x:c r="E165" s="2"/>
      <x:c r="F165" s="2"/>
      <x:c r="G165" s="2"/>
      <x:c r="H165" s="2"/>
      <x:c r="I165" s="2"/>
    </x:row>
    <x:row r="166" ht="23" customHeight="1">
      <x:c r="A166" s="2"/>
      <x:c r="B166" s="2"/>
      <x:c r="C166" s="2"/>
      <x:c r="D166" s="2"/>
      <x:c r="E166" s="2"/>
      <x:c r="F166" s="2"/>
      <x:c r="G166" s="2"/>
      <x:c r="H166" s="2"/>
      <x:c r="I166" s="2"/>
    </x:row>
    <x:row r="167" ht="23" customHeight="1">
      <x:c r="A167" s="2"/>
      <x:c r="B167" s="2"/>
      <x:c r="C167" s="2"/>
      <x:c r="D167" s="2"/>
      <x:c r="E167" s="2"/>
      <x:c r="F167" s="2"/>
      <x:c r="G167" s="2"/>
      <x:c r="H167" s="2"/>
      <x:c r="I167" s="2"/>
    </x:row>
    <x:row r="168" ht="23" customHeight="1">
      <x:c r="A168" s="2"/>
      <x:c r="B168" s="2"/>
      <x:c r="C168" s="2"/>
      <x:c r="D168" s="2"/>
      <x:c r="E168" s="2"/>
      <x:c r="F168" s="2"/>
      <x:c r="G168" s="2"/>
      <x:c r="H168" s="2"/>
      <x:c r="I168" s="2"/>
    </x:row>
    <x:row r="169" ht="23" customHeight="1">
      <x:c r="A169" s="2"/>
      <x:c r="B169" s="2"/>
      <x:c r="C169" s="2"/>
      <x:c r="D169" s="2"/>
      <x:c r="E169" s="2"/>
      <x:c r="F169" s="2"/>
      <x:c r="G169" s="2"/>
      <x:c r="H169" s="2"/>
      <x:c r="I169" s="2"/>
    </x:row>
    <x:row r="170" ht="23" customHeight="1">
      <x:c r="A170" s="2"/>
      <x:c r="B170" s="2"/>
      <x:c r="C170" s="2"/>
      <x:c r="D170" s="2"/>
      <x:c r="E170" s="2"/>
      <x:c r="F170" s="2"/>
      <x:c r="G170" s="2"/>
      <x:c r="H170" s="2"/>
      <x:c r="I170" s="2"/>
    </x:row>
    <x:row r="171" ht="23" customHeight="1">
      <x:c r="A171" s="2"/>
      <x:c r="B171" s="2"/>
      <x:c r="C171" s="2"/>
      <x:c r="D171" s="2"/>
      <x:c r="E171" s="2"/>
      <x:c r="F171" s="2"/>
      <x:c r="G171" s="2"/>
      <x:c r="H171" s="2"/>
      <x:c r="I171" s="2"/>
    </x:row>
    <x:row r="172" ht="23" customHeight="1">
      <x:c r="A172" s="2"/>
      <x:c r="B172" s="2"/>
      <x:c r="C172" s="2"/>
      <x:c r="D172" s="2"/>
      <x:c r="E172" s="2"/>
      <x:c r="F172" s="2"/>
      <x:c r="G172" s="2"/>
      <x:c r="H172" s="2"/>
      <x:c r="I172" s="2"/>
    </x:row>
    <x:row r="173" ht="23" customHeight="1">
      <x:c r="A173" s="2"/>
      <x:c r="B173" s="2"/>
      <x:c r="C173" s="2"/>
      <x:c r="D173" s="2"/>
      <x:c r="E173" s="2"/>
      <x:c r="F173" s="2"/>
      <x:c r="G173" s="2"/>
      <x:c r="H173" s="2"/>
      <x:c r="I173" s="2"/>
    </x:row>
    <x:row r="174" ht="23" customHeight="1">
      <x:c r="A174" s="2"/>
      <x:c r="B174" s="2"/>
      <x:c r="C174" s="2"/>
      <x:c r="D174" s="2"/>
      <x:c r="E174" s="2"/>
      <x:c r="F174" s="2"/>
      <x:c r="G174" s="2"/>
      <x:c r="H174" s="2"/>
      <x:c r="I174" s="2"/>
    </x:row>
    <x:row r="175" ht="23" customHeight="1">
      <x:c r="A175" s="2"/>
      <x:c r="B175" s="2"/>
      <x:c r="C175" s="2"/>
      <x:c r="D175" s="2"/>
      <x:c r="E175" s="2"/>
      <x:c r="F175" s="2"/>
      <x:c r="G175" s="2"/>
      <x:c r="H175" s="2"/>
      <x:c r="I175" s="2"/>
    </x:row>
    <x:row r="176" ht="23" customHeight="1">
      <x:c r="A176" s="2"/>
      <x:c r="B176" s="2"/>
      <x:c r="C176" s="2"/>
      <x:c r="D176" s="2"/>
      <x:c r="E176" s="2"/>
      <x:c r="F176" s="2"/>
      <x:c r="G176" s="2"/>
      <x:c r="H176" s="2"/>
      <x:c r="I176" s="2"/>
    </x:row>
    <x:row r="177" ht="23" customHeight="1">
      <x:c r="A177" s="2"/>
      <x:c r="B177" s="2"/>
      <x:c r="C177" s="2"/>
      <x:c r="D177" s="2"/>
      <x:c r="E177" s="2"/>
      <x:c r="F177" s="2"/>
      <x:c r="G177" s="2"/>
      <x:c r="H177" s="2"/>
      <x:c r="I177" s="2"/>
    </x:row>
    <x:row r="178" ht="23" customHeight="1">
      <x:c r="A178" s="2"/>
      <x:c r="B178" s="2"/>
      <x:c r="C178" s="2"/>
      <x:c r="D178" s="2"/>
      <x:c r="E178" s="2"/>
      <x:c r="F178" s="2"/>
      <x:c r="G178" s="2"/>
      <x:c r="H178" s="2"/>
      <x:c r="I178" s="2"/>
    </x:row>
    <x:row r="179" ht="23" customHeight="1">
      <x:c r="A179" s="2"/>
      <x:c r="B179" s="2"/>
      <x:c r="C179" s="2"/>
      <x:c r="D179" s="2"/>
      <x:c r="E179" s="2"/>
      <x:c r="F179" s="2"/>
      <x:c r="G179" s="2"/>
      <x:c r="H179" s="2"/>
      <x:c r="I179" s="2"/>
    </x:row>
    <x:row r="180" ht="23" customHeight="1">
      <x:c r="A180" s="2"/>
      <x:c r="B180" s="2"/>
      <x:c r="C180" s="2"/>
      <x:c r="D180" s="2"/>
      <x:c r="E180" s="2"/>
      <x:c r="F180" s="2"/>
      <x:c r="G180" s="2"/>
      <x:c r="H180" s="2"/>
      <x:c r="I180" s="2"/>
    </x:row>
    <x:row r="181" ht="23" customHeight="1">
      <x:c r="A181" s="2"/>
      <x:c r="B181" s="2"/>
      <x:c r="C181" s="2"/>
      <x:c r="D181" s="2"/>
      <x:c r="E181" s="2"/>
      <x:c r="F181" s="2"/>
      <x:c r="G181" s="2"/>
      <x:c r="H181" s="2"/>
      <x:c r="I181" s="2"/>
    </x:row>
    <x:row r="182" ht="23" customHeight="1">
      <x:c r="A182" s="2"/>
      <x:c r="B182" s="2"/>
      <x:c r="C182" s="2"/>
      <x:c r="D182" s="2"/>
      <x:c r="E182" s="2"/>
      <x:c r="F182" s="2"/>
      <x:c r="G182" s="2"/>
      <x:c r="H182" s="2"/>
      <x:c r="I182" s="2"/>
    </x:row>
    <x:row r="183" ht="23" customHeight="1">
      <x:c r="A183" s="2"/>
      <x:c r="B183" s="2"/>
      <x:c r="C183" s="2"/>
      <x:c r="D183" s="2"/>
      <x:c r="E183" s="2"/>
      <x:c r="F183" s="2"/>
      <x:c r="G183" s="2"/>
      <x:c r="H183" s="2"/>
      <x:c r="I183" s="2"/>
    </x:row>
    <x:row r="184" ht="23" customHeight="1">
      <x:c r="A184" s="2"/>
      <x:c r="B184" s="2"/>
      <x:c r="C184" s="2"/>
      <x:c r="D184" s="2"/>
      <x:c r="E184" s="2"/>
      <x:c r="F184" s="2"/>
      <x:c r="G184" s="2"/>
      <x:c r="H184" s="2"/>
      <x:c r="I184" s="2"/>
    </x:row>
    <x:row r="185" ht="23" customHeight="1">
      <x:c r="A185" s="2"/>
      <x:c r="B185" s="2"/>
      <x:c r="C185" s="2"/>
      <x:c r="D185" s="2"/>
      <x:c r="E185" s="2"/>
      <x:c r="F185" s="2"/>
      <x:c r="G185" s="2"/>
      <x:c r="H185" s="2"/>
      <x:c r="I185" s="2"/>
    </x:row>
    <x:row r="186" ht="23" customHeight="1">
      <x:c r="A186" s="2"/>
      <x:c r="B186" s="2"/>
      <x:c r="C186" s="2"/>
      <x:c r="D186" s="2"/>
      <x:c r="E186" s="2"/>
      <x:c r="F186" s="2"/>
      <x:c r="G186" s="2"/>
      <x:c r="H186" s="2"/>
      <x:c r="I186" s="2"/>
    </x:row>
    <x:row r="187" ht="23" customHeight="1">
      <x:c r="A187" s="2"/>
      <x:c r="B187" s="2"/>
      <x:c r="C187" s="2"/>
      <x:c r="D187" s="2"/>
      <x:c r="E187" s="2"/>
      <x:c r="F187" s="2"/>
      <x:c r="G187" s="2"/>
      <x:c r="H187" s="2"/>
      <x:c r="I187" s="2"/>
    </x:row>
    <x:row r="188" ht="23" customHeight="1">
      <x:c r="A188" s="2"/>
      <x:c r="B188" s="2"/>
      <x:c r="C188" s="2"/>
      <x:c r="D188" s="2"/>
      <x:c r="E188" s="2"/>
      <x:c r="F188" s="2"/>
      <x:c r="G188" s="2"/>
      <x:c r="H188" s="2"/>
      <x:c r="I188" s="2"/>
    </x:row>
    <x:row r="189" ht="23" customHeight="1">
      <x:c r="A189" s="2"/>
      <x:c r="B189" s="2"/>
      <x:c r="C189" s="2"/>
      <x:c r="D189" s="2"/>
      <x:c r="E189" s="2"/>
      <x:c r="F189" s="2"/>
      <x:c r="G189" s="2"/>
      <x:c r="H189" s="2"/>
      <x:c r="I189" s="2"/>
    </x:row>
    <x:row r="190" ht="23" customHeight="1">
      <x:c r="A190" s="2"/>
      <x:c r="B190" s="2"/>
      <x:c r="C190" s="2"/>
      <x:c r="D190" s="2"/>
      <x:c r="E190" s="2"/>
      <x:c r="F190" s="2"/>
      <x:c r="G190" s="2"/>
      <x:c r="H190" s="2"/>
      <x:c r="I190" s="2"/>
    </x:row>
    <x:row r="191" ht="23" customHeight="1">
      <x:c r="A191" s="2"/>
      <x:c r="B191" s="2"/>
      <x:c r="C191" s="2"/>
      <x:c r="D191" s="2"/>
      <x:c r="E191" s="2"/>
      <x:c r="F191" s="2"/>
      <x:c r="G191" s="2"/>
      <x:c r="H191" s="2"/>
      <x:c r="I191" s="2"/>
    </x:row>
    <x:row r="192" ht="23" customHeight="1">
      <x:c r="A192" s="2"/>
      <x:c r="B192" s="2"/>
      <x:c r="C192" s="2"/>
      <x:c r="D192" s="2"/>
      <x:c r="E192" s="2"/>
      <x:c r="F192" s="2"/>
      <x:c r="G192" s="2"/>
      <x:c r="H192" s="2"/>
      <x:c r="I192" s="2"/>
    </x:row>
    <x:row r="193" ht="23" customHeight="1">
      <x:c r="A193" s="2"/>
      <x:c r="B193" s="2"/>
      <x:c r="C193" s="2"/>
      <x:c r="D193" s="2"/>
      <x:c r="E193" s="2"/>
      <x:c r="F193" s="2"/>
      <x:c r="G193" s="2"/>
      <x:c r="H193" s="2"/>
      <x:c r="I193" s="2"/>
    </x:row>
    <x:row r="194" ht="23" customHeight="1">
      <x:c r="A194" s="2"/>
      <x:c r="B194" s="2"/>
      <x:c r="C194" s="2"/>
      <x:c r="D194" s="2"/>
      <x:c r="E194" s="2"/>
      <x:c r="F194" s="2"/>
      <x:c r="G194" s="2"/>
      <x:c r="H194" s="2"/>
      <x:c r="I194" s="2"/>
    </x:row>
    <x:row r="195" ht="23" customHeight="1">
      <x:c r="A195" s="2"/>
      <x:c r="B195" s="2"/>
      <x:c r="C195" s="2"/>
      <x:c r="D195" s="2"/>
      <x:c r="E195" s="2"/>
      <x:c r="F195" s="2"/>
      <x:c r="G195" s="2"/>
      <x:c r="H195" s="2"/>
      <x:c r="I195" s="2"/>
    </x:row>
    <x:row r="196" ht="23" customHeight="1">
      <x:c r="A196" s="2"/>
      <x:c r="B196" s="2"/>
      <x:c r="C196" s="2"/>
      <x:c r="D196" s="2"/>
      <x:c r="E196" s="2"/>
      <x:c r="F196" s="2"/>
      <x:c r="G196" s="2"/>
      <x:c r="H196" s="2"/>
      <x:c r="I196" s="2"/>
    </x:row>
    <x:row r="197" ht="23" customHeight="1">
      <x:c r="A197" s="2"/>
      <x:c r="B197" s="2"/>
      <x:c r="C197" s="2"/>
      <x:c r="D197" s="2"/>
      <x:c r="E197" s="2"/>
      <x:c r="F197" s="2"/>
      <x:c r="G197" s="2"/>
      <x:c r="H197" s="2"/>
      <x:c r="I197" s="2"/>
    </x:row>
    <x:row r="198" ht="23" customHeight="1">
      <x:c r="A198" s="2"/>
      <x:c r="B198" s="2"/>
      <x:c r="C198" s="2"/>
      <x:c r="D198" s="2"/>
      <x:c r="E198" s="2"/>
      <x:c r="F198" s="2"/>
      <x:c r="G198" s="2"/>
      <x:c r="H198" s="2"/>
      <x:c r="I198" s="2"/>
    </x:row>
    <x:row r="199" ht="23" customHeight="1">
      <x:c r="A199" s="2"/>
      <x:c r="B199" s="2"/>
      <x:c r="C199" s="2"/>
      <x:c r="D199" s="2"/>
      <x:c r="E199" s="2"/>
      <x:c r="F199" s="2"/>
      <x:c r="G199" s="2"/>
      <x:c r="H199" s="2"/>
      <x:c r="I199" s="2"/>
    </x:row>
    <x:row r="200" ht="23" customHeight="1">
      <x:c r="A200" s="2"/>
      <x:c r="B200" s="2"/>
      <x:c r="C200" s="2"/>
      <x:c r="D200" s="2"/>
      <x:c r="E200" s="2"/>
      <x:c r="F200" s="2"/>
      <x:c r="G200" s="2"/>
      <x:c r="H200" s="2"/>
      <x:c r="I200" s="2"/>
    </x:row>
    <x:row r="201" ht="23" customHeight="1">
      <x:c r="A201" s="2"/>
      <x:c r="B201" s="2"/>
      <x:c r="C201" s="2"/>
      <x:c r="D201" s="2"/>
      <x:c r="E201" s="2"/>
      <x:c r="F201" s="2"/>
      <x:c r="G201" s="2"/>
      <x:c r="H201" s="2"/>
      <x:c r="I201" s="2"/>
    </x:row>
    <x:row r="202" ht="23" customHeight="1">
      <x:c r="A202" s="2"/>
      <x:c r="B202" s="2"/>
      <x:c r="C202" s="2"/>
      <x:c r="D202" s="2"/>
      <x:c r="E202" s="2"/>
      <x:c r="F202" s="2"/>
      <x:c r="G202" s="2"/>
      <x:c r="H202" s="2"/>
      <x:c r="I202" s="2"/>
    </x:row>
    <x:row r="203" ht="23" customHeight="1">
      <x:c r="A203" s="2"/>
      <x:c r="B203" s="2"/>
      <x:c r="C203" s="2"/>
      <x:c r="D203" s="2"/>
      <x:c r="E203" s="2"/>
      <x:c r="F203" s="2"/>
      <x:c r="G203" s="2"/>
      <x:c r="H203" s="2"/>
      <x:c r="I203" s="2"/>
    </x:row>
    <x:row r="204" ht="23" customHeight="1">
      <x:c r="A204" s="2"/>
      <x:c r="B204" s="2"/>
      <x:c r="C204" s="2"/>
      <x:c r="D204" s="2"/>
      <x:c r="E204" s="2"/>
      <x:c r="F204" s="2"/>
      <x:c r="G204" s="2"/>
      <x:c r="H204" s="2"/>
      <x:c r="I204" s="2"/>
    </x:row>
    <x:row r="205" ht="23" customHeight="1">
      <x:c r="A205" s="2"/>
      <x:c r="B205" s="2"/>
      <x:c r="C205" s="2"/>
      <x:c r="D205" s="2"/>
      <x:c r="E205" s="2"/>
      <x:c r="F205" s="2"/>
      <x:c r="G205" s="2"/>
      <x:c r="H205" s="2"/>
      <x:c r="I205" s="2"/>
    </x:row>
    <x:row r="206" ht="23" customHeight="1">
      <x:c r="A206" s="2"/>
      <x:c r="B206" s="2"/>
      <x:c r="C206" s="2"/>
      <x:c r="D206" s="2"/>
      <x:c r="E206" s="2"/>
      <x:c r="F206" s="2"/>
      <x:c r="G206" s="2"/>
      <x:c r="H206" s="2"/>
      <x:c r="I206" s="2"/>
    </x:row>
    <x:row r="207" ht="23" customHeight="1">
      <x:c r="A207" s="2"/>
      <x:c r="B207" s="2"/>
      <x:c r="C207" s="2"/>
      <x:c r="D207" s="2"/>
      <x:c r="E207" s="2"/>
      <x:c r="F207" s="2"/>
      <x:c r="G207" s="2"/>
      <x:c r="H207" s="2"/>
      <x:c r="I207" s="2"/>
    </x:row>
    <x:row r="208" ht="23" customHeight="1">
      <x:c r="A208" s="2"/>
      <x:c r="B208" s="2"/>
      <x:c r="C208" s="2"/>
      <x:c r="D208" s="2"/>
      <x:c r="E208" s="2"/>
      <x:c r="F208" s="2"/>
      <x:c r="G208" s="2"/>
      <x:c r="H208" s="2"/>
      <x:c r="I208" s="2"/>
    </x:row>
    <x:row r="209" ht="23" customHeight="1">
      <x:c r="A209" s="2"/>
      <x:c r="B209" s="2"/>
      <x:c r="C209" s="2"/>
      <x:c r="D209" s="2"/>
      <x:c r="E209" s="2"/>
      <x:c r="F209" s="2"/>
      <x:c r="G209" s="2"/>
      <x:c r="H209" s="2"/>
      <x:c r="I209" s="2"/>
    </x:row>
    <x:row r="210" ht="23" customHeight="1">
      <x:c r="A210" s="2"/>
      <x:c r="B210" s="2"/>
      <x:c r="C210" s="2"/>
      <x:c r="D210" s="2"/>
      <x:c r="E210" s="2"/>
      <x:c r="F210" s="2"/>
      <x:c r="G210" s="2"/>
      <x:c r="H210" s="2"/>
      <x:c r="I210" s="2"/>
    </x:row>
    <x:row r="211" ht="23" customHeight="1">
      <x:c r="A211" s="2"/>
      <x:c r="B211" s="2"/>
      <x:c r="C211" s="2"/>
      <x:c r="D211" s="2"/>
      <x:c r="E211" s="2"/>
      <x:c r="F211" s="2"/>
      <x:c r="G211" s="2"/>
      <x:c r="H211" s="2"/>
      <x:c r="I211" s="2"/>
    </x:row>
    <x:row r="212" ht="23" customHeight="1">
      <x:c r="A212" s="2"/>
      <x:c r="B212" s="2"/>
      <x:c r="C212" s="2"/>
      <x:c r="D212" s="2"/>
      <x:c r="E212" s="2"/>
      <x:c r="F212" s="2"/>
      <x:c r="G212" s="2"/>
      <x:c r="H212" s="2"/>
      <x:c r="I212" s="2"/>
    </x:row>
    <x:row r="213" ht="23" customHeight="1">
      <x:c r="A213" s="2"/>
      <x:c r="B213" s="2"/>
      <x:c r="C213" s="2"/>
      <x:c r="D213" s="2"/>
      <x:c r="E213" s="2"/>
      <x:c r="F213" s="2"/>
      <x:c r="G213" s="2"/>
      <x:c r="H213" s="2"/>
      <x:c r="I213" s="2"/>
    </x:row>
    <x:row r="214" ht="23" customHeight="1">
      <x:c r="A214" s="2"/>
      <x:c r="B214" s="2"/>
      <x:c r="C214" s="2"/>
      <x:c r="D214" s="2"/>
      <x:c r="E214" s="2"/>
      <x:c r="F214" s="2"/>
      <x:c r="G214" s="2"/>
      <x:c r="H214" s="2"/>
      <x:c r="I214" s="2"/>
    </x:row>
    <x:row r="215" ht="23" customHeight="1">
      <x:c r="A215" s="2"/>
      <x:c r="B215" s="2"/>
      <x:c r="C215" s="2"/>
      <x:c r="D215" s="2"/>
      <x:c r="E215" s="2"/>
      <x:c r="F215" s="2"/>
      <x:c r="G215" s="2"/>
      <x:c r="H215" s="2"/>
      <x:c r="I215" s="2"/>
    </x:row>
    <x:row r="216" ht="23" customHeight="1">
      <x:c r="A216" s="2"/>
      <x:c r="B216" s="2"/>
      <x:c r="C216" s="2"/>
      <x:c r="D216" s="2"/>
      <x:c r="E216" s="2"/>
      <x:c r="F216" s="2"/>
      <x:c r="G216" s="2"/>
      <x:c r="H216" s="2"/>
      <x:c r="I216" s="2"/>
    </x:row>
    <x:row r="217" ht="23" customHeight="1">
      <x:c r="A217" s="2"/>
      <x:c r="B217" s="2"/>
      <x:c r="C217" s="2"/>
      <x:c r="D217" s="2"/>
      <x:c r="E217" s="2"/>
      <x:c r="F217" s="2"/>
      <x:c r="G217" s="2"/>
      <x:c r="H217" s="2"/>
      <x:c r="I217" s="2"/>
    </x:row>
    <x:row r="218" ht="23" customHeight="1">
      <x:c r="A218" s="2"/>
      <x:c r="B218" s="2"/>
      <x:c r="C218" s="2"/>
      <x:c r="D218" s="2"/>
      <x:c r="E218" s="2"/>
      <x:c r="F218" s="2"/>
      <x:c r="G218" s="2"/>
      <x:c r="H218" s="2"/>
      <x:c r="I218" s="2"/>
    </x:row>
    <x:row r="219" ht="23" customHeight="1">
      <x:c r="A219" s="2"/>
      <x:c r="B219" s="2"/>
      <x:c r="C219" s="2"/>
      <x:c r="D219" s="2"/>
      <x:c r="E219" s="2"/>
      <x:c r="F219" s="2"/>
      <x:c r="G219" s="2"/>
      <x:c r="H219" s="2"/>
      <x:c r="I219" s="2"/>
    </x:row>
    <x:row r="220" ht="23" customHeight="1">
      <x:c r="A220" s="2"/>
      <x:c r="B220" s="2"/>
      <x:c r="C220" s="2"/>
      <x:c r="D220" s="2"/>
      <x:c r="E220" s="2"/>
      <x:c r="F220" s="2"/>
      <x:c r="G220" s="2"/>
      <x:c r="H220" s="2"/>
      <x:c r="I220" s="2"/>
    </x:row>
    <x:row r="221" ht="23" customHeight="1">
      <x:c r="A221" s="2"/>
      <x:c r="B221" s="2"/>
      <x:c r="C221" s="2"/>
      <x:c r="D221" s="2"/>
      <x:c r="E221" s="2"/>
      <x:c r="F221" s="2"/>
      <x:c r="G221" s="2"/>
      <x:c r="H221" s="2"/>
      <x:c r="I221" s="2"/>
    </x:row>
    <x:row r="222" ht="23" customHeight="1">
      <x:c r="A222" s="2"/>
      <x:c r="B222" s="2"/>
      <x:c r="C222" s="2"/>
      <x:c r="D222" s="2"/>
      <x:c r="E222" s="2"/>
      <x:c r="F222" s="2"/>
      <x:c r="G222" s="2"/>
      <x:c r="H222" s="2"/>
      <x:c r="I222" s="2"/>
    </x:row>
    <x:row r="223" ht="23" customHeight="1">
      <x:c r="A223" s="2"/>
      <x:c r="B223" s="2"/>
      <x:c r="C223" s="2"/>
      <x:c r="D223" s="2"/>
      <x:c r="E223" s="2"/>
      <x:c r="F223" s="2"/>
      <x:c r="G223" s="2"/>
      <x:c r="H223" s="2"/>
      <x:c r="I223" s="2"/>
    </x:row>
    <x:row r="224" ht="23" customHeight="1">
      <x:c r="A224" s="2"/>
      <x:c r="B224" s="2"/>
      <x:c r="C224" s="2"/>
      <x:c r="D224" s="2"/>
      <x:c r="E224" s="2"/>
      <x:c r="F224" s="2"/>
      <x:c r="G224" s="2"/>
      <x:c r="H224" s="2"/>
      <x:c r="I224" s="2"/>
    </x:row>
    <x:row r="225" ht="23" customHeight="1">
      <x:c r="A225" s="2"/>
      <x:c r="B225" s="2"/>
      <x:c r="C225" s="2"/>
      <x:c r="D225" s="2"/>
      <x:c r="E225" s="2"/>
      <x:c r="F225" s="2"/>
      <x:c r="G225" s="2"/>
      <x:c r="H225" s="2"/>
      <x:c r="I225" s="2"/>
    </x:row>
    <x:row r="226" ht="23" customHeight="1">
      <x:c r="A226" s="2"/>
      <x:c r="B226" s="2"/>
      <x:c r="C226" s="2"/>
      <x:c r="D226" s="2"/>
      <x:c r="E226" s="2"/>
      <x:c r="F226" s="2"/>
      <x:c r="G226" s="2"/>
      <x:c r="H226" s="2"/>
      <x:c r="I226" s="2"/>
    </x:row>
    <x:row r="227" ht="23" customHeight="1">
      <x:c r="A227" s="2"/>
      <x:c r="B227" s="2"/>
      <x:c r="C227" s="2"/>
      <x:c r="D227" s="2"/>
      <x:c r="E227" s="2"/>
      <x:c r="F227" s="2"/>
      <x:c r="G227" s="2"/>
      <x:c r="H227" s="2"/>
      <x:c r="I227" s="2"/>
    </x:row>
    <x:row r="228" ht="23" customHeight="1">
      <x:c r="A228" s="2"/>
      <x:c r="B228" s="2"/>
      <x:c r="C228" s="2"/>
      <x:c r="D228" s="2"/>
      <x:c r="E228" s="2"/>
      <x:c r="F228" s="2"/>
      <x:c r="G228" s="2"/>
      <x:c r="H228" s="2"/>
      <x:c r="I228" s="2"/>
    </x:row>
    <x:row r="229" ht="23" customHeight="1">
      <x:c r="A229" s="2"/>
      <x:c r="B229" s="2"/>
      <x:c r="C229" s="2"/>
      <x:c r="D229" s="2"/>
      <x:c r="E229" s="2"/>
      <x:c r="F229" s="2"/>
      <x:c r="G229" s="2"/>
      <x:c r="H229" s="2"/>
      <x:c r="I229" s="2"/>
    </x:row>
    <x:row r="230" ht="23" customHeight="1">
      <x:c r="A230" s="2"/>
      <x:c r="B230" s="2"/>
      <x:c r="C230" s="2"/>
      <x:c r="D230" s="2"/>
      <x:c r="E230" s="2"/>
      <x:c r="F230" s="2"/>
      <x:c r="G230" s="2"/>
      <x:c r="H230" s="2"/>
      <x:c r="I230" s="2"/>
    </x:row>
    <x:row r="231" ht="23" customHeight="1">
      <x:c r="A231" s="2"/>
      <x:c r="B231" s="2"/>
      <x:c r="C231" s="2"/>
      <x:c r="D231" s="2"/>
      <x:c r="E231" s="2"/>
      <x:c r="F231" s="2"/>
      <x:c r="G231" s="2"/>
      <x:c r="H231" s="2"/>
      <x:c r="I231" s="2"/>
    </x:row>
    <x:row r="232" ht="23" customHeight="1">
      <x:c r="A232" s="2"/>
      <x:c r="B232" s="2"/>
      <x:c r="C232" s="2"/>
      <x:c r="D232" s="2"/>
      <x:c r="E232" s="2"/>
      <x:c r="F232" s="2"/>
      <x:c r="G232" s="2"/>
      <x:c r="H232" s="2"/>
      <x:c r="I232" s="2"/>
    </x:row>
    <x:row r="233" ht="23" customHeight="1">
      <x:c r="A233" s="2"/>
      <x:c r="B233" s="2"/>
      <x:c r="C233" s="2"/>
      <x:c r="D233" s="2"/>
      <x:c r="E233" s="2"/>
      <x:c r="F233" s="2"/>
      <x:c r="G233" s="2"/>
      <x:c r="H233" s="2"/>
      <x:c r="I233" s="2"/>
    </x:row>
    <x:row r="234" ht="23" customHeight="1">
      <x:c r="A234" s="2"/>
      <x:c r="B234" s="2"/>
      <x:c r="C234" s="2"/>
      <x:c r="D234" s="2"/>
      <x:c r="E234" s="2"/>
      <x:c r="F234" s="2"/>
      <x:c r="G234" s="2"/>
      <x:c r="H234" s="2"/>
      <x:c r="I234" s="2"/>
    </x:row>
    <x:row r="235" ht="23" customHeight="1">
      <x:c r="A235" s="2"/>
      <x:c r="B235" s="2"/>
      <x:c r="C235" s="2"/>
      <x:c r="D235" s="2"/>
      <x:c r="E235" s="2"/>
      <x:c r="F235" s="2"/>
      <x:c r="G235" s="2"/>
      <x:c r="H235" s="2"/>
      <x:c r="I235" s="2"/>
    </x:row>
    <x:row r="236" ht="23" customHeight="1">
      <x:c r="A236" s="2"/>
      <x:c r="B236" s="2"/>
      <x:c r="C236" s="2"/>
      <x:c r="D236" s="2"/>
      <x:c r="E236" s="2"/>
      <x:c r="F236" s="2"/>
      <x:c r="G236" s="2"/>
      <x:c r="H236" s="2"/>
      <x:c r="I236" s="2"/>
    </x:row>
    <x:row r="237" ht="23" customHeight="1">
      <x:c r="A237" s="2"/>
      <x:c r="B237" s="2"/>
      <x:c r="C237" s="2"/>
      <x:c r="D237" s="2"/>
      <x:c r="E237" s="2"/>
      <x:c r="F237" s="2"/>
      <x:c r="G237" s="2"/>
      <x:c r="H237" s="2"/>
      <x:c r="I237" s="2"/>
    </x:row>
    <x:row r="238" ht="23" customHeight="1">
      <x:c r="A238" s="2"/>
      <x:c r="B238" s="2"/>
      <x:c r="C238" s="2"/>
      <x:c r="D238" s="2"/>
      <x:c r="E238" s="2"/>
      <x:c r="F238" s="2"/>
      <x:c r="G238" s="2"/>
      <x:c r="H238" s="2"/>
      <x:c r="I238" s="2"/>
    </x:row>
    <x:row r="239" ht="23" customHeight="1">
      <x:c r="A239" s="2"/>
      <x:c r="B239" s="2"/>
      <x:c r="C239" s="2"/>
      <x:c r="D239" s="2"/>
      <x:c r="E239" s="2"/>
      <x:c r="F239" s="2"/>
      <x:c r="G239" s="2"/>
      <x:c r="H239" s="2"/>
      <x:c r="I239" s="2"/>
    </x:row>
    <x:row r="240" ht="23" customHeight="1">
      <x:c r="A240" s="2"/>
      <x:c r="B240" s="2"/>
      <x:c r="C240" s="2"/>
      <x:c r="D240" s="2"/>
      <x:c r="E240" s="2"/>
      <x:c r="F240" s="2"/>
      <x:c r="G240" s="2"/>
      <x:c r="H240" s="2"/>
      <x:c r="I240" s="2"/>
    </x:row>
    <x:row r="241" ht="23" customHeight="1">
      <x:c r="A241" s="2"/>
      <x:c r="B241" s="2"/>
      <x:c r="C241" s="2"/>
      <x:c r="D241" s="2"/>
      <x:c r="E241" s="2"/>
      <x:c r="F241" s="2"/>
      <x:c r="G241" s="2"/>
      <x:c r="H241" s="2"/>
      <x:c r="I241" s="2"/>
    </x:row>
    <x:row r="242" ht="23" customHeight="1">
      <x:c r="A242" s="2"/>
      <x:c r="B242" s="2"/>
      <x:c r="C242" s="2"/>
      <x:c r="D242" s="2"/>
      <x:c r="E242" s="2"/>
      <x:c r="F242" s="2"/>
      <x:c r="G242" s="2"/>
      <x:c r="H242" s="2"/>
      <x:c r="I242" s="2"/>
    </x:row>
    <x:row r="243" ht="23" customHeight="1">
      <x:c r="A243" s="2"/>
      <x:c r="B243" s="2"/>
      <x:c r="C243" s="2"/>
      <x:c r="D243" s="2"/>
      <x:c r="E243" s="2"/>
      <x:c r="F243" s="2"/>
      <x:c r="G243" s="2"/>
      <x:c r="H243" s="2"/>
      <x:c r="I243" s="2"/>
    </x:row>
    <x:row r="244" ht="23" customHeight="1">
      <x:c r="A244" s="2"/>
      <x:c r="B244" s="2"/>
      <x:c r="C244" s="2"/>
      <x:c r="D244" s="2"/>
      <x:c r="E244" s="2"/>
      <x:c r="F244" s="2"/>
      <x:c r="G244" s="2"/>
      <x:c r="H244" s="2"/>
      <x:c r="I244" s="2"/>
    </x:row>
    <x:row r="245" ht="23" customHeight="1">
      <x:c r="A245" s="2"/>
      <x:c r="B245" s="2"/>
      <x:c r="C245" s="2"/>
      <x:c r="D245" s="2"/>
      <x:c r="E245" s="2"/>
      <x:c r="F245" s="2"/>
      <x:c r="G245" s="2"/>
      <x:c r="H245" s="2"/>
      <x:c r="I245" s="2"/>
    </x:row>
    <x:row r="246" ht="23" customHeight="1">
      <x:c r="A246" s="2"/>
      <x:c r="B246" s="2"/>
      <x:c r="C246" s="2"/>
      <x:c r="D246" s="2"/>
      <x:c r="E246" s="2"/>
      <x:c r="F246" s="2"/>
      <x:c r="G246" s="2"/>
      <x:c r="H246" s="2"/>
      <x:c r="I246" s="2"/>
    </x:row>
    <x:row r="247" ht="23" customHeight="1">
      <x:c r="A247" s="2"/>
      <x:c r="B247" s="2"/>
      <x:c r="C247" s="2"/>
      <x:c r="D247" s="2"/>
      <x:c r="E247" s="2"/>
      <x:c r="F247" s="2"/>
      <x:c r="G247" s="2"/>
      <x:c r="H247" s="2"/>
      <x:c r="I247" s="2"/>
    </x:row>
    <x:row r="248" ht="23" customHeight="1">
      <x:c r="A248" s="2"/>
      <x:c r="B248" s="2"/>
      <x:c r="C248" s="2"/>
      <x:c r="D248" s="2"/>
      <x:c r="E248" s="2"/>
      <x:c r="F248" s="2"/>
      <x:c r="G248" s="2"/>
      <x:c r="H248" s="2"/>
      <x:c r="I248" s="2"/>
    </x:row>
    <x:row r="249" ht="23" customHeight="1">
      <x:c r="A249" s="2"/>
      <x:c r="B249" s="2"/>
      <x:c r="C249" s="2"/>
      <x:c r="D249" s="2"/>
      <x:c r="E249" s="2"/>
      <x:c r="F249" s="2"/>
      <x:c r="G249" s="2"/>
      <x:c r="H249" s="2"/>
      <x:c r="I249" s="2"/>
    </x:row>
    <x:row r="250" ht="23" customHeight="1">
      <x:c r="A250" s="2"/>
      <x:c r="B250" s="2"/>
      <x:c r="C250" s="2"/>
      <x:c r="D250" s="2"/>
      <x:c r="E250" s="2"/>
      <x:c r="F250" s="2"/>
      <x:c r="G250" s="2"/>
      <x:c r="H250" s="2"/>
      <x:c r="I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  <x:c r="I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  <x:c r="I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  <x:c r="I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  <x:c r="I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  <x:c r="I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  <x:c r="I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  <x:c r="I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  <x:c r="I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  <x:c r="I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  <x:c r="I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  <x:c r="I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  <x:c r="I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  <x:c r="I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  <x:c r="I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  <x:c r="I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  <x:c r="I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  <x:c r="I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  <x:c r="I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  <x:c r="I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  <x:c r="I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  <x:c r="I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  <x:c r="I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  <x:c r="I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  <x:c r="I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  <x:c r="I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  <x:c r="I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  <x:c r="I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  <x:c r="I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  <x:c r="I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  <x:c r="I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  <x:c r="I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  <x:c r="I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  <x:c r="I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  <x:c r="I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  <x:c r="I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  <x:c r="I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  <x:c r="I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  <x:c r="I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  <x:c r="I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  <x:c r="I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  <x:c r="I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  <x:c r="I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  <x:c r="I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  <x:c r="I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  <x:c r="I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  <x:c r="I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  <x:c r="I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  <x:c r="I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  <x:c r="I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  <x:c r="I300" s="2"/>
    </x:row>
    <x:row r="301" ht="23" customHeight="1">
      <x:c r="A301" s="2"/>
      <x:c r="B301" s="2"/>
      <x:c r="C301" s="2"/>
      <x:c r="D301" s="2"/>
      <x:c r="E301" s="2"/>
      <x:c r="F301" s="2"/>
      <x:c r="G301" s="2"/>
      <x:c r="H301" s="2"/>
      <x:c r="I301" s="2"/>
    </x:row>
    <x:row r="302" ht="23" customHeight="1">
      <x:c r="A302" s="2"/>
      <x:c r="B302" s="2"/>
      <x:c r="C302" s="2"/>
      <x:c r="D302" s="2"/>
      <x:c r="E302" s="2"/>
      <x:c r="F302" s="2"/>
      <x:c r="G302" s="2"/>
      <x:c r="H302" s="2"/>
      <x:c r="I302" s="2"/>
    </x:row>
    <x:row r="303" ht="23" customHeight="1">
      <x:c r="A303" s="2"/>
      <x:c r="B303" s="2"/>
      <x:c r="C303" s="2"/>
      <x:c r="D303" s="2"/>
      <x:c r="E303" s="2"/>
      <x:c r="F303" s="2"/>
      <x:c r="G303" s="2"/>
      <x:c r="H303" s="2"/>
      <x:c r="I303" s="2"/>
    </x:row>
    <x:row r="304" ht="23" customHeight="1">
      <x:c r="A304" s="2"/>
      <x:c r="B304" s="2"/>
      <x:c r="C304" s="2"/>
      <x:c r="D304" s="2"/>
      <x:c r="E304" s="2"/>
      <x:c r="F304" s="2"/>
      <x:c r="G304" s="2"/>
      <x:c r="H304" s="2"/>
      <x:c r="I304" s="2"/>
    </x:row>
    <x:row r="305" ht="23" customHeight="1">
      <x:c r="A305" s="2"/>
      <x:c r="B305" s="2"/>
      <x:c r="C305" s="2"/>
      <x:c r="D305" s="2"/>
      <x:c r="E305" s="2"/>
      <x:c r="F305" s="2"/>
      <x:c r="G305" s="2"/>
      <x:c r="H305" s="2"/>
      <x:c r="I305" s="2"/>
    </x:row>
    <x:row r="306" ht="23" customHeight="1">
      <x:c r="A306" s="2"/>
      <x:c r="B306" s="2"/>
      <x:c r="C306" s="2"/>
      <x:c r="D306" s="2"/>
      <x:c r="E306" s="2"/>
      <x:c r="F306" s="2"/>
      <x:c r="G306" s="2"/>
      <x:c r="H306" s="2"/>
      <x:c r="I306" s="2"/>
    </x:row>
    <x:row r="307" ht="23" customHeight="1">
      <x:c r="A307" s="2"/>
      <x:c r="B307" s="2"/>
      <x:c r="C307" s="2"/>
      <x:c r="D307" s="2"/>
      <x:c r="E307" s="2"/>
      <x:c r="F307" s="2"/>
      <x:c r="G307" s="2"/>
      <x:c r="H307" s="2"/>
      <x:c r="I307" s="2"/>
    </x:row>
    <x:row r="308" ht="23" customHeight="1">
      <x:c r="A308" s="2"/>
      <x:c r="B308" s="2"/>
      <x:c r="C308" s="2"/>
      <x:c r="D308" s="2"/>
      <x:c r="E308" s="2"/>
      <x:c r="F308" s="2"/>
      <x:c r="G308" s="2"/>
      <x:c r="H308" s="2"/>
      <x:c r="I308" s="2"/>
    </x:row>
    <x:row r="309" ht="23" customHeight="1">
      <x:c r="A309" s="2"/>
      <x:c r="B309" s="2"/>
      <x:c r="C309" s="2"/>
      <x:c r="D309" s="2"/>
      <x:c r="E309" s="2"/>
      <x:c r="F309" s="2"/>
      <x:c r="G309" s="2"/>
      <x:c r="H309" s="2"/>
      <x:c r="I309" s="2"/>
    </x:row>
    <x:row r="310" ht="23" customHeight="1">
      <x:c r="A310" s="2"/>
      <x:c r="B310" s="2"/>
      <x:c r="C310" s="2"/>
      <x:c r="D310" s="2"/>
      <x:c r="E310" s="2"/>
      <x:c r="F310" s="2"/>
      <x:c r="G310" s="2"/>
      <x:c r="H310" s="2"/>
      <x:c r="I310" s="2"/>
    </x:row>
    <x:row r="311" ht="23" customHeight="1">
      <x:c r="A311" s="2"/>
      <x:c r="B311" s="2"/>
      <x:c r="C311" s="2"/>
      <x:c r="D311" s="2"/>
      <x:c r="E311" s="2"/>
      <x:c r="F311" s="2"/>
      <x:c r="G311" s="2"/>
      <x:c r="H311" s="2"/>
      <x:c r="I311" s="2"/>
    </x:row>
    <x:row r="312" ht="23" customHeight="1">
      <x:c r="A312" s="2"/>
      <x:c r="B312" s="2"/>
      <x:c r="C312" s="2"/>
      <x:c r="D312" s="2"/>
      <x:c r="E312" s="2"/>
      <x:c r="F312" s="2"/>
      <x:c r="G312" s="2"/>
      <x:c r="H312" s="2"/>
      <x:c r="I312" s="2"/>
    </x:row>
    <x:row r="313" ht="23" customHeight="1">
      <x:c r="A313" s="2"/>
      <x:c r="B313" s="2"/>
      <x:c r="C313" s="2"/>
      <x:c r="D313" s="2"/>
      <x:c r="E313" s="2"/>
      <x:c r="F313" s="2"/>
      <x:c r="G313" s="2"/>
      <x:c r="H313" s="2"/>
      <x:c r="I313" s="2"/>
    </x:row>
    <x:row r="314" ht="23" customHeight="1">
      <x:c r="A314" s="2"/>
      <x:c r="B314" s="2"/>
      <x:c r="C314" s="2"/>
      <x:c r="D314" s="2"/>
      <x:c r="E314" s="2"/>
      <x:c r="F314" s="2"/>
      <x:c r="G314" s="2"/>
      <x:c r="H314" s="2"/>
      <x:c r="I314" s="2"/>
    </x:row>
    <x:row r="315" ht="23" customHeight="1">
      <x:c r="A315" s="2"/>
      <x:c r="B315" s="2"/>
      <x:c r="C315" s="2"/>
      <x:c r="D315" s="2"/>
      <x:c r="E315" s="2"/>
      <x:c r="F315" s="2"/>
      <x:c r="G315" s="2"/>
      <x:c r="H315" s="2"/>
      <x:c r="I315" s="2"/>
    </x:row>
    <x:row r="316" ht="23" customHeight="1">
      <x:c r="A316" s="2"/>
      <x:c r="B316" s="2"/>
      <x:c r="C316" s="2"/>
      <x:c r="D316" s="2"/>
      <x:c r="E316" s="2"/>
      <x:c r="F316" s="2"/>
      <x:c r="G316" s="2"/>
      <x:c r="H316" s="2"/>
      <x:c r="I316" s="2"/>
    </x:row>
    <x:row r="317" ht="23" customHeight="1">
      <x:c r="A317" s="2"/>
      <x:c r="B317" s="2"/>
      <x:c r="C317" s="2"/>
      <x:c r="D317" s="2"/>
      <x:c r="E317" s="2"/>
      <x:c r="F317" s="2"/>
      <x:c r="G317" s="2"/>
      <x:c r="H317" s="2"/>
      <x:c r="I317" s="2"/>
    </x:row>
    <x:row r="318" ht="23" customHeight="1">
      <x:c r="A318" s="2"/>
      <x:c r="B318" s="2"/>
      <x:c r="C318" s="2"/>
      <x:c r="D318" s="2"/>
      <x:c r="E318" s="2"/>
      <x:c r="F318" s="2"/>
      <x:c r="G318" s="2"/>
      <x:c r="H318" s="2"/>
      <x:c r="I318" s="2"/>
    </x:row>
    <x:row r="319" ht="23" customHeight="1">
      <x:c r="A319" s="2"/>
      <x:c r="B319" s="2"/>
      <x:c r="C319" s="2"/>
      <x:c r="D319" s="2"/>
      <x:c r="E319" s="2"/>
      <x:c r="F319" s="2"/>
      <x:c r="G319" s="2"/>
      <x:c r="H319" s="2"/>
      <x:c r="I319" s="2"/>
    </x:row>
    <x:row r="320" ht="23" customHeight="1">
      <x:c r="A320" s="2"/>
      <x:c r="B320" s="2"/>
      <x:c r="C320" s="2"/>
      <x:c r="D320" s="2"/>
      <x:c r="E320" s="2"/>
      <x:c r="F320" s="2"/>
      <x:c r="G320" s="2"/>
      <x:c r="H320" s="2"/>
      <x:c r="I320" s="2"/>
    </x:row>
    <x:row r="321" ht="23" customHeight="1">
      <x:c r="A321" s="2"/>
      <x:c r="B321" s="2"/>
      <x:c r="C321" s="2"/>
      <x:c r="D321" s="2"/>
      <x:c r="E321" s="2"/>
      <x:c r="F321" s="2"/>
      <x:c r="G321" s="2"/>
      <x:c r="H321" s="2"/>
      <x:c r="I321" s="2"/>
    </x:row>
    <x:row r="322" ht="23" customHeight="1">
      <x:c r="A322" s="2"/>
      <x:c r="B322" s="2"/>
      <x:c r="C322" s="2"/>
      <x:c r="D322" s="2"/>
      <x:c r="E322" s="2"/>
      <x:c r="F322" s="2"/>
      <x:c r="G322" s="2"/>
      <x:c r="H322" s="2"/>
      <x:c r="I322" s="2"/>
    </x:row>
    <x:row r="323" ht="23" customHeight="1">
      <x:c r="A323" s="2"/>
      <x:c r="B323" s="2"/>
      <x:c r="C323" s="2"/>
      <x:c r="D323" s="2"/>
      <x:c r="E323" s="2"/>
      <x:c r="F323" s="2"/>
      <x:c r="G323" s="2"/>
      <x:c r="H323" s="2"/>
      <x:c r="I323" s="2"/>
    </x:row>
    <x:row r="324" ht="23" customHeight="1">
      <x:c r="A324" s="2"/>
      <x:c r="B324" s="2"/>
      <x:c r="C324" s="2"/>
      <x:c r="D324" s="2"/>
      <x:c r="E324" s="2"/>
      <x:c r="F324" s="2"/>
      <x:c r="G324" s="2"/>
      <x:c r="H324" s="2"/>
      <x:c r="I324" s="2"/>
    </x:row>
    <x:row r="325" ht="23" customHeight="1">
      <x:c r="A325" s="2"/>
      <x:c r="B325" s="2"/>
      <x:c r="C325" s="2"/>
      <x:c r="D325" s="2"/>
      <x:c r="E325" s="2"/>
      <x:c r="F325" s="2"/>
      <x:c r="G325" s="2"/>
      <x:c r="H325" s="2"/>
      <x:c r="I325" s="2"/>
    </x:row>
    <x:row r="326" ht="23" customHeight="1">
      <x:c r="A326" s="2"/>
      <x:c r="B326" s="2"/>
      <x:c r="C326" s="2"/>
      <x:c r="D326" s="2"/>
      <x:c r="E326" s="2"/>
      <x:c r="F326" s="2"/>
      <x:c r="G326" s="2"/>
      <x:c r="H326" s="2"/>
      <x:c r="I326" s="2"/>
    </x:row>
    <x:row r="327" ht="23" customHeight="1">
      <x:c r="A327" s="2"/>
      <x:c r="B327" s="2"/>
      <x:c r="C327" s="2"/>
      <x:c r="D327" s="2"/>
      <x:c r="E327" s="2"/>
      <x:c r="F327" s="2"/>
      <x:c r="G327" s="2"/>
      <x:c r="H327" s="2"/>
      <x:c r="I327" s="2"/>
    </x:row>
    <x:row r="328" ht="23" customHeight="1">
      <x:c r="A328" s="2"/>
      <x:c r="B328" s="2"/>
      <x:c r="C328" s="2"/>
      <x:c r="D328" s="2"/>
      <x:c r="E328" s="2"/>
      <x:c r="F328" s="2"/>
      <x:c r="G328" s="2"/>
      <x:c r="H328" s="2"/>
      <x:c r="I328" s="2"/>
    </x:row>
    <x:row r="329" ht="23" customHeight="1">
      <x:c r="A329" s="2"/>
      <x:c r="B329" s="2"/>
      <x:c r="C329" s="2"/>
      <x:c r="D329" s="2"/>
      <x:c r="E329" s="2"/>
      <x:c r="F329" s="2"/>
      <x:c r="G329" s="2"/>
      <x:c r="H329" s="2"/>
      <x:c r="I329" s="2"/>
    </x:row>
    <x:row r="330" ht="23" customHeight="1">
      <x:c r="A330" s="2"/>
      <x:c r="B330" s="2"/>
      <x:c r="C330" s="2"/>
      <x:c r="D330" s="2"/>
      <x:c r="E330" s="2"/>
      <x:c r="F330" s="2"/>
      <x:c r="G330" s="2"/>
      <x:c r="H330" s="2"/>
      <x:c r="I330" s="2"/>
    </x:row>
    <x:row r="331" ht="23" customHeight="1">
      <x:c r="A331" s="2"/>
      <x:c r="B331" s="2"/>
      <x:c r="C331" s="2"/>
      <x:c r="D331" s="2"/>
      <x:c r="E331" s="2"/>
      <x:c r="F331" s="2"/>
      <x:c r="G331" s="2"/>
      <x:c r="H331" s="2"/>
      <x:c r="I331" s="2"/>
    </x:row>
    <x:row r="332" ht="23" customHeight="1">
      <x:c r="A332" s="2"/>
      <x:c r="B332" s="2"/>
      <x:c r="C332" s="2"/>
      <x:c r="D332" s="2"/>
      <x:c r="E332" s="2"/>
      <x:c r="F332" s="2"/>
      <x:c r="G332" s="2"/>
      <x:c r="H332" s="2"/>
      <x:c r="I332" s="2"/>
    </x:row>
    <x:row r="333" ht="23" customHeight="1">
      <x:c r="A333" s="2"/>
      <x:c r="B333" s="2"/>
      <x:c r="C333" s="2"/>
      <x:c r="D333" s="2"/>
      <x:c r="E333" s="2"/>
      <x:c r="F333" s="2"/>
      <x:c r="G333" s="2"/>
      <x:c r="H333" s="2"/>
      <x:c r="I333" s="2"/>
    </x:row>
    <x:row r="334" ht="23" customHeight="1">
      <x:c r="A334" s="2"/>
      <x:c r="B334" s="2"/>
      <x:c r="C334" s="2"/>
      <x:c r="D334" s="2"/>
      <x:c r="E334" s="2"/>
      <x:c r="F334" s="2"/>
      <x:c r="G334" s="2"/>
      <x:c r="H334" s="2"/>
      <x:c r="I334" s="2"/>
    </x:row>
    <x:row r="335" ht="23" customHeight="1">
      <x:c r="A335" s="2"/>
      <x:c r="B335" s="2"/>
      <x:c r="C335" s="2"/>
      <x:c r="D335" s="2"/>
      <x:c r="E335" s="2"/>
      <x:c r="F335" s="2"/>
      <x:c r="G335" s="2"/>
      <x:c r="H335" s="2"/>
      <x:c r="I335" s="2"/>
    </x:row>
    <x:row r="336" ht="23" customHeight="1">
      <x:c r="A336" s="2"/>
      <x:c r="B336" s="2"/>
      <x:c r="C336" s="2"/>
      <x:c r="D336" s="2"/>
      <x:c r="E336" s="2"/>
      <x:c r="F336" s="2"/>
      <x:c r="G336" s="2"/>
      <x:c r="H336" s="2"/>
      <x:c r="I336" s="2"/>
    </x:row>
    <x:row r="337" ht="23" customHeight="1">
      <x:c r="A337" s="2"/>
      <x:c r="B337" s="2"/>
      <x:c r="C337" s="2"/>
      <x:c r="D337" s="2"/>
      <x:c r="E337" s="2"/>
      <x:c r="F337" s="2"/>
      <x:c r="G337" s="2"/>
      <x:c r="H337" s="2"/>
      <x:c r="I337" s="2"/>
    </x:row>
    <x:row r="338" ht="23" customHeight="1">
      <x:c r="A338" s="2"/>
      <x:c r="B338" s="2"/>
      <x:c r="C338" s="2"/>
      <x:c r="D338" s="2"/>
      <x:c r="E338" s="2"/>
      <x:c r="F338" s="2"/>
      <x:c r="G338" s="2"/>
      <x:c r="H338" s="2"/>
      <x:c r="I338" s="2"/>
    </x:row>
    <x:row r="339" ht="23" customHeight="1">
      <x:c r="A339" s="2"/>
      <x:c r="B339" s="2"/>
      <x:c r="C339" s="2"/>
      <x:c r="D339" s="2"/>
      <x:c r="E339" s="2"/>
      <x:c r="F339" s="2"/>
      <x:c r="G339" s="2"/>
      <x:c r="H339" s="2"/>
      <x:c r="I339" s="2"/>
    </x:row>
    <x:row r="340" ht="23" customHeight="1">
      <x:c r="A340" s="2"/>
      <x:c r="B340" s="2"/>
      <x:c r="C340" s="2"/>
      <x:c r="D340" s="2"/>
      <x:c r="E340" s="2"/>
      <x:c r="F340" s="2"/>
      <x:c r="G340" s="2"/>
      <x:c r="H340" s="2"/>
      <x:c r="I340" s="2"/>
    </x:row>
    <x:row r="341" ht="23" customHeight="1">
      <x:c r="A341" s="2"/>
      <x:c r="B341" s="2"/>
      <x:c r="C341" s="2"/>
      <x:c r="D341" s="2"/>
      <x:c r="E341" s="2"/>
      <x:c r="F341" s="2"/>
      <x:c r="G341" s="2"/>
      <x:c r="H341" s="2"/>
      <x:c r="I341" s="2"/>
    </x:row>
    <x:row r="342" ht="23" customHeight="1">
      <x:c r="A342" s="2"/>
      <x:c r="B342" s="2"/>
      <x:c r="C342" s="2"/>
      <x:c r="D342" s="2"/>
      <x:c r="E342" s="2"/>
      <x:c r="F342" s="2"/>
      <x:c r="G342" s="2"/>
      <x:c r="H342" s="2"/>
      <x:c r="I342" s="2"/>
    </x:row>
    <x:row r="343" ht="23" customHeight="1">
      <x:c r="A343" s="2"/>
      <x:c r="B343" s="2"/>
      <x:c r="C343" s="2"/>
      <x:c r="D343" s="2"/>
      <x:c r="E343" s="2"/>
      <x:c r="F343" s="2"/>
      <x:c r="G343" s="2"/>
      <x:c r="H343" s="2"/>
      <x:c r="I343" s="2"/>
    </x:row>
    <x:row r="344" ht="23" customHeight="1">
      <x:c r="A344" s="2"/>
      <x:c r="B344" s="2"/>
      <x:c r="C344" s="2"/>
      <x:c r="D344" s="2"/>
      <x:c r="E344" s="2"/>
      <x:c r="F344" s="2"/>
      <x:c r="G344" s="2"/>
      <x:c r="H344" s="2"/>
      <x:c r="I344" s="2"/>
    </x:row>
    <x:row r="345" ht="23" customHeight="1">
      <x:c r="A345" s="2"/>
      <x:c r="B345" s="2"/>
      <x:c r="C345" s="2"/>
      <x:c r="D345" s="2"/>
      <x:c r="E345" s="2"/>
      <x:c r="F345" s="2"/>
      <x:c r="G345" s="2"/>
      <x:c r="H345" s="2"/>
      <x:c r="I345" s="2"/>
    </x:row>
    <x:row r="346" ht="23" customHeight="1">
      <x:c r="A346" s="2"/>
      <x:c r="B346" s="2"/>
      <x:c r="C346" s="2"/>
      <x:c r="D346" s="2"/>
      <x:c r="E346" s="2"/>
      <x:c r="F346" s="2"/>
      <x:c r="G346" s="2"/>
      <x:c r="H346" s="2"/>
      <x:c r="I346" s="2"/>
    </x:row>
    <x:row r="347" ht="23" customHeight="1">
      <x:c r="A347" s="2"/>
      <x:c r="B347" s="2"/>
      <x:c r="C347" s="2"/>
      <x:c r="D347" s="2"/>
      <x:c r="E347" s="2"/>
      <x:c r="F347" s="2"/>
      <x:c r="G347" s="2"/>
      <x:c r="H347" s="2"/>
      <x:c r="I347" s="2"/>
    </x:row>
    <x:row r="348" ht="23" customHeight="1">
      <x:c r="A348" s="2"/>
      <x:c r="B348" s="2"/>
      <x:c r="C348" s="2"/>
      <x:c r="D348" s="2"/>
      <x:c r="E348" s="2"/>
      <x:c r="F348" s="2"/>
      <x:c r="G348" s="2"/>
      <x:c r="H348" s="2"/>
      <x:c r="I348" s="2"/>
    </x:row>
    <x:row r="349" ht="23" customHeight="1">
      <x:c r="A349" s="2"/>
      <x:c r="B349" s="2"/>
      <x:c r="C349" s="2"/>
      <x:c r="D349" s="2"/>
      <x:c r="E349" s="2"/>
      <x:c r="F349" s="2"/>
      <x:c r="G349" s="2"/>
      <x:c r="H349" s="2"/>
      <x:c r="I349" s="2"/>
    </x:row>
    <x:row r="350" ht="23" customHeight="1">
      <x:c r="A350" s="2"/>
      <x:c r="B350" s="2"/>
      <x:c r="C350" s="2"/>
      <x:c r="D350" s="2"/>
      <x:c r="E350" s="2"/>
      <x:c r="F350" s="2"/>
      <x:c r="G350" s="2"/>
      <x:c r="H350" s="2"/>
      <x:c r="I350" s="2"/>
    </x:row>
    <x:row r="351" ht="23" customHeight="1">
      <x:c r="A351" s="2"/>
      <x:c r="B351" s="2"/>
      <x:c r="C351" s="2"/>
      <x:c r="D351" s="2"/>
      <x:c r="E351" s="2"/>
      <x:c r="F351" s="2"/>
      <x:c r="G351" s="2"/>
      <x:c r="H351" s="2"/>
      <x:c r="I351" s="2"/>
    </x:row>
    <x:row r="352" ht="23" customHeight="1">
      <x:c r="A352" s="2"/>
      <x:c r="B352" s="2"/>
      <x:c r="C352" s="2"/>
      <x:c r="D352" s="2"/>
      <x:c r="E352" s="2"/>
      <x:c r="F352" s="2"/>
      <x:c r="G352" s="2"/>
      <x:c r="H352" s="2"/>
      <x:c r="I352" s="2"/>
    </x:row>
    <x:row r="353" ht="23" customHeight="1">
      <x:c r="A353" s="2"/>
      <x:c r="B353" s="2"/>
      <x:c r="C353" s="2"/>
      <x:c r="D353" s="2"/>
      <x:c r="E353" s="2"/>
      <x:c r="F353" s="2"/>
      <x:c r="G353" s="2"/>
      <x:c r="H353" s="2"/>
      <x:c r="I353" s="2"/>
    </x:row>
    <x:row r="354" ht="23" customHeight="1">
      <x:c r="A354" s="2"/>
      <x:c r="B354" s="2"/>
      <x:c r="C354" s="2"/>
      <x:c r="D354" s="2"/>
      <x:c r="E354" s="2"/>
      <x:c r="F354" s="2"/>
      <x:c r="G354" s="2"/>
      <x:c r="H354" s="2"/>
      <x:c r="I354" s="2"/>
    </x:row>
    <x:row r="355" ht="23" customHeight="1">
      <x:c r="A355" s="2"/>
      <x:c r="B355" s="2"/>
      <x:c r="C355" s="2"/>
      <x:c r="D355" s="2"/>
      <x:c r="E355" s="2"/>
      <x:c r="F355" s="2"/>
      <x:c r="G355" s="2"/>
      <x:c r="H355" s="2"/>
      <x:c r="I355" s="2"/>
    </x:row>
    <x:row r="356" ht="23" customHeight="1">
      <x:c r="A356" s="2"/>
      <x:c r="B356" s="2"/>
      <x:c r="C356" s="2"/>
      <x:c r="D356" s="2"/>
      <x:c r="E356" s="2"/>
      <x:c r="F356" s="2"/>
      <x:c r="G356" s="2"/>
      <x:c r="H356" s="2"/>
      <x:c r="I356" s="2"/>
    </x:row>
    <x:row r="357" ht="23" customHeight="1">
      <x:c r="A357" s="2"/>
      <x:c r="B357" s="2"/>
      <x:c r="C357" s="2"/>
      <x:c r="D357" s="2"/>
      <x:c r="E357" s="2"/>
      <x:c r="F357" s="2"/>
      <x:c r="G357" s="2"/>
      <x:c r="H357" s="2"/>
      <x:c r="I357" s="2"/>
    </x:row>
    <x:row r="358" ht="23" customHeight="1">
      <x:c r="A358" s="2"/>
      <x:c r="B358" s="2"/>
      <x:c r="C358" s="2"/>
      <x:c r="D358" s="2"/>
      <x:c r="E358" s="2"/>
      <x:c r="F358" s="2"/>
      <x:c r="G358" s="2"/>
      <x:c r="H358" s="2"/>
      <x:c r="I358" s="2"/>
    </x:row>
    <x:row r="359" ht="23" customHeight="1">
      <x:c r="A359" s="2"/>
      <x:c r="B359" s="2"/>
      <x:c r="C359" s="2"/>
      <x:c r="D359" s="2"/>
      <x:c r="E359" s="2"/>
      <x:c r="F359" s="2"/>
      <x:c r="G359" s="2"/>
      <x:c r="H359" s="2"/>
      <x:c r="I359" s="2"/>
    </x:row>
    <x:row r="360" ht="23" customHeight="1">
      <x:c r="A360" s="2"/>
      <x:c r="B360" s="2"/>
      <x:c r="C360" s="2"/>
      <x:c r="D360" s="2"/>
      <x:c r="E360" s="2"/>
      <x:c r="F360" s="2"/>
      <x:c r="G360" s="2"/>
      <x:c r="H360" s="2"/>
      <x:c r="I360" s="2"/>
    </x:row>
    <x:row r="361" ht="23" customHeight="1">
      <x:c r="A361" s="2"/>
      <x:c r="B361" s="2"/>
      <x:c r="C361" s="2"/>
      <x:c r="D361" s="2"/>
      <x:c r="E361" s="2"/>
      <x:c r="F361" s="2"/>
      <x:c r="G361" s="2"/>
      <x:c r="H361" s="2"/>
      <x:c r="I361" s="2"/>
    </x:row>
    <x:row r="362" ht="23" customHeight="1">
      <x:c r="A362" s="2"/>
      <x:c r="B362" s="2"/>
      <x:c r="C362" s="2"/>
      <x:c r="D362" s="2"/>
      <x:c r="E362" s="2"/>
      <x:c r="F362" s="2"/>
      <x:c r="G362" s="2"/>
      <x:c r="H362" s="2"/>
      <x:c r="I362" s="2"/>
    </x:row>
    <x:row r="363" ht="23" customHeight="1">
      <x:c r="A363" s="2"/>
      <x:c r="B363" s="2"/>
      <x:c r="C363" s="2"/>
      <x:c r="D363" s="2"/>
      <x:c r="E363" s="2"/>
      <x:c r="F363" s="2"/>
      <x:c r="G363" s="2"/>
      <x:c r="H363" s="2"/>
      <x:c r="I363" s="2"/>
    </x:row>
    <x:row r="364" ht="23" customHeight="1">
      <x:c r="A364" s="2"/>
      <x:c r="B364" s="2"/>
      <x:c r="C364" s="2"/>
      <x:c r="D364" s="2"/>
      <x:c r="E364" s="2"/>
      <x:c r="F364" s="2"/>
      <x:c r="G364" s="2"/>
      <x:c r="H364" s="2"/>
      <x:c r="I364" s="2"/>
    </x:row>
    <x:row r="365" ht="23" customHeight="1">
      <x:c r="A365" s="2"/>
      <x:c r="B365" s="2"/>
      <x:c r="C365" s="2"/>
      <x:c r="D365" s="2"/>
      <x:c r="E365" s="2"/>
      <x:c r="F365" s="2"/>
      <x:c r="G365" s="2"/>
      <x:c r="H365" s="2"/>
      <x:c r="I365" s="2"/>
    </x:row>
    <x:row r="366" ht="23" customHeight="1">
      <x:c r="A366" s="2"/>
      <x:c r="B366" s="2"/>
      <x:c r="C366" s="2"/>
      <x:c r="D366" s="2"/>
      <x:c r="E366" s="2"/>
      <x:c r="F366" s="2"/>
      <x:c r="G366" s="2"/>
      <x:c r="H366" s="2"/>
      <x:c r="I366" s="2"/>
    </x:row>
    <x:row r="367" ht="23" customHeight="1">
      <x:c r="A367" s="2"/>
      <x:c r="B367" s="2"/>
      <x:c r="C367" s="2"/>
      <x:c r="D367" s="2"/>
      <x:c r="E367" s="2"/>
      <x:c r="F367" s="2"/>
      <x:c r="G367" s="2"/>
      <x:c r="H367" s="2"/>
      <x:c r="I367" s="2"/>
    </x:row>
    <x:row r="368" ht="23" customHeight="1">
      <x:c r="A368" s="2"/>
      <x:c r="B368" s="2"/>
      <x:c r="C368" s="2"/>
      <x:c r="D368" s="2"/>
      <x:c r="E368" s="2"/>
      <x:c r="F368" s="2"/>
      <x:c r="G368" s="2"/>
      <x:c r="H368" s="2"/>
      <x:c r="I368" s="2"/>
    </x:row>
    <x:row r="369" ht="23" customHeight="1">
      <x:c r="A369" s="2"/>
      <x:c r="B369" s="2"/>
      <x:c r="C369" s="2"/>
      <x:c r="D369" s="2"/>
      <x:c r="E369" s="2"/>
      <x:c r="F369" s="2"/>
      <x:c r="G369" s="2"/>
      <x:c r="H369" s="2"/>
      <x:c r="I369" s="2"/>
    </x:row>
    <x:row r="370" ht="23" customHeight="1">
      <x:c r="A370" s="2"/>
      <x:c r="B370" s="2"/>
      <x:c r="C370" s="2"/>
      <x:c r="D370" s="2"/>
      <x:c r="E370" s="2"/>
      <x:c r="F370" s="2"/>
      <x:c r="G370" s="2"/>
      <x:c r="H370" s="2"/>
      <x:c r="I370" s="2"/>
    </x:row>
    <x:row r="371" ht="23" customHeight="1">
      <x:c r="A371" s="2"/>
      <x:c r="B371" s="2"/>
      <x:c r="C371" s="2"/>
      <x:c r="D371" s="2"/>
      <x:c r="E371" s="2"/>
      <x:c r="F371" s="2"/>
      <x:c r="G371" s="2"/>
      <x:c r="H371" s="2"/>
      <x:c r="I371" s="2"/>
    </x:row>
    <x:row r="372" ht="23" customHeight="1">
      <x:c r="A372" s="2"/>
      <x:c r="B372" s="2"/>
      <x:c r="C372" s="2"/>
      <x:c r="D372" s="2"/>
      <x:c r="E372" s="2"/>
      <x:c r="F372" s="2"/>
      <x:c r="G372" s="2"/>
      <x:c r="H372" s="2"/>
      <x:c r="I372" s="2"/>
    </x:row>
    <x:row r="373" ht="23" customHeight="1">
      <x:c r="A373" s="2"/>
      <x:c r="B373" s="2"/>
      <x:c r="C373" s="2"/>
      <x:c r="D373" s="2"/>
      <x:c r="E373" s="2"/>
      <x:c r="F373" s="2"/>
      <x:c r="G373" s="2"/>
      <x:c r="H373" s="2"/>
      <x:c r="I373" s="2"/>
    </x:row>
    <x:row r="374" ht="23" customHeight="1">
      <x:c r="A374" s="2"/>
      <x:c r="B374" s="2"/>
      <x:c r="C374" s="2"/>
      <x:c r="D374" s="2"/>
      <x:c r="E374" s="2"/>
      <x:c r="F374" s="2"/>
      <x:c r="G374" s="2"/>
      <x:c r="H374" s="2"/>
      <x:c r="I374" s="2"/>
    </x:row>
    <x:row r="375" ht="23" customHeight="1">
      <x:c r="A375" s="2"/>
      <x:c r="B375" s="2"/>
      <x:c r="C375" s="2"/>
      <x:c r="D375" s="2"/>
      <x:c r="E375" s="2"/>
      <x:c r="F375" s="2"/>
      <x:c r="G375" s="2"/>
      <x:c r="H375" s="2"/>
      <x:c r="I375" s="2"/>
    </x:row>
    <x:row r="376" ht="23" customHeight="1">
      <x:c r="A376" s="2"/>
      <x:c r="B376" s="2"/>
      <x:c r="C376" s="2"/>
      <x:c r="D376" s="2"/>
      <x:c r="E376" s="2"/>
      <x:c r="F376" s="2"/>
      <x:c r="G376" s="2"/>
      <x:c r="H376" s="2"/>
      <x:c r="I376" s="2"/>
    </x:row>
    <x:row r="377" ht="23" customHeight="1">
      <x:c r="A377" s="2"/>
      <x:c r="B377" s="2"/>
      <x:c r="C377" s="2"/>
      <x:c r="D377" s="2"/>
      <x:c r="E377" s="2"/>
      <x:c r="F377" s="2"/>
      <x:c r="G377" s="2"/>
      <x:c r="H377" s="2"/>
      <x:c r="I377" s="2"/>
    </x:row>
    <x:row r="378" ht="23" customHeight="1">
      <x:c r="A378" s="2"/>
      <x:c r="B378" s="2"/>
      <x:c r="C378" s="2"/>
      <x:c r="D378" s="2"/>
      <x:c r="E378" s="2"/>
      <x:c r="F378" s="2"/>
      <x:c r="G378" s="2"/>
      <x:c r="H378" s="2"/>
      <x:c r="I378" s="2"/>
    </x:row>
    <x:row r="379" ht="23" customHeight="1">
      <x:c r="A379" s="2"/>
      <x:c r="B379" s="2"/>
      <x:c r="C379" s="2"/>
      <x:c r="D379" s="2"/>
      <x:c r="E379" s="2"/>
      <x:c r="F379" s="2"/>
      <x:c r="G379" s="2"/>
      <x:c r="H379" s="2"/>
      <x:c r="I379" s="2"/>
    </x:row>
    <x:row r="380" ht="23" customHeight="1">
      <x:c r="A380" s="2"/>
      <x:c r="B380" s="2"/>
      <x:c r="C380" s="2"/>
      <x:c r="D380" s="2"/>
      <x:c r="E380" s="2"/>
      <x:c r="F380" s="2"/>
      <x:c r="G380" s="2"/>
      <x:c r="H380" s="2"/>
      <x:c r="I380" s="2"/>
    </x:row>
    <x:row r="381" ht="23" customHeight="1">
      <x:c r="A381" s="2"/>
      <x:c r="B381" s="2"/>
      <x:c r="C381" s="2"/>
      <x:c r="D381" s="2"/>
      <x:c r="E381" s="2"/>
      <x:c r="F381" s="2"/>
      <x:c r="G381" s="2"/>
      <x:c r="H381" s="2"/>
      <x:c r="I381" s="2"/>
    </x:row>
    <x:row r="382" ht="23" customHeight="1">
      <x:c r="A382" s="2"/>
      <x:c r="B382" s="2"/>
      <x:c r="C382" s="2"/>
      <x:c r="D382" s="2"/>
      <x:c r="E382" s="2"/>
      <x:c r="F382" s="2"/>
      <x:c r="G382" s="2"/>
      <x:c r="H382" s="2"/>
      <x:c r="I382" s="2"/>
    </x:row>
    <x:row r="383" ht="23" customHeight="1">
      <x:c r="A383" s="2"/>
      <x:c r="B383" s="2"/>
      <x:c r="C383" s="2"/>
      <x:c r="D383" s="2"/>
      <x:c r="E383" s="2"/>
      <x:c r="F383" s="2"/>
      <x:c r="G383" s="2"/>
      <x:c r="H383" s="2"/>
      <x:c r="I383" s="2"/>
    </x:row>
    <x:row r="384" ht="23" customHeight="1">
      <x:c r="A384" s="2"/>
      <x:c r="B384" s="2"/>
      <x:c r="C384" s="2"/>
      <x:c r="D384" s="2"/>
      <x:c r="E384" s="2"/>
      <x:c r="F384" s="2"/>
      <x:c r="G384" s="2"/>
      <x:c r="H384" s="2"/>
      <x:c r="I384" s="2"/>
    </x:row>
    <x:row r="385" ht="23" customHeight="1">
      <x:c r="A385" s="2"/>
      <x:c r="B385" s="2"/>
      <x:c r="C385" s="2"/>
      <x:c r="D385" s="2"/>
      <x:c r="E385" s="2"/>
      <x:c r="F385" s="2"/>
      <x:c r="G385" s="2"/>
      <x:c r="H385" s="2"/>
      <x:c r="I385" s="2"/>
    </x:row>
    <x:row r="386" ht="23" customHeight="1">
      <x:c r="A386" s="2"/>
      <x:c r="B386" s="2"/>
      <x:c r="C386" s="2"/>
      <x:c r="D386" s="2"/>
      <x:c r="E386" s="2"/>
      <x:c r="F386" s="2"/>
      <x:c r="G386" s="2"/>
      <x:c r="H386" s="2"/>
      <x:c r="I386" s="2"/>
    </x:row>
    <x:row r="387" ht="23" customHeight="1">
      <x:c r="A387" s="2"/>
      <x:c r="B387" s="2"/>
      <x:c r="C387" s="2"/>
      <x:c r="D387" s="2"/>
      <x:c r="E387" s="2"/>
      <x:c r="F387" s="2"/>
      <x:c r="G387" s="2"/>
      <x:c r="H387" s="2"/>
      <x:c r="I387" s="2"/>
    </x:row>
    <x:row r="388" ht="23" customHeight="1">
      <x:c r="A388" s="2"/>
      <x:c r="B388" s="2"/>
      <x:c r="C388" s="2"/>
      <x:c r="D388" s="2"/>
      <x:c r="E388" s="2"/>
      <x:c r="F388" s="2"/>
      <x:c r="G388" s="2"/>
      <x:c r="H388" s="2"/>
      <x:c r="I388" s="2"/>
    </x:row>
    <x:row r="389" ht="23" customHeight="1">
      <x:c r="A389" s="2"/>
      <x:c r="B389" s="2"/>
      <x:c r="C389" s="2"/>
      <x:c r="D389" s="2"/>
      <x:c r="E389" s="2"/>
      <x:c r="F389" s="2"/>
      <x:c r="G389" s="2"/>
      <x:c r="H389" s="2"/>
      <x:c r="I389" s="2"/>
    </x:row>
    <x:row r="390" ht="23" customHeight="1">
      <x:c r="A390" s="2"/>
      <x:c r="B390" s="2"/>
      <x:c r="C390" s="2"/>
      <x:c r="D390" s="2"/>
      <x:c r="E390" s="2"/>
      <x:c r="F390" s="2"/>
      <x:c r="G390" s="2"/>
      <x:c r="H390" s="2"/>
      <x:c r="I390" s="2"/>
    </x:row>
    <x:row r="391" ht="23" customHeight="1">
      <x:c r="A391" s="2"/>
      <x:c r="B391" s="2"/>
      <x:c r="C391" s="2"/>
      <x:c r="D391" s="2"/>
      <x:c r="E391" s="2"/>
      <x:c r="F391" s="2"/>
      <x:c r="G391" s="2"/>
      <x:c r="H391" s="2"/>
      <x:c r="I391" s="2"/>
    </x:row>
    <x:row r="392" ht="23" customHeight="1">
      <x:c r="A392" s="2"/>
      <x:c r="B392" s="2"/>
      <x:c r="C392" s="2"/>
      <x:c r="D392" s="2"/>
      <x:c r="E392" s="2"/>
      <x:c r="F392" s="2"/>
      <x:c r="G392" s="2"/>
      <x:c r="H392" s="2"/>
      <x:c r="I392" s="2"/>
    </x:row>
    <x:row r="393" ht="23" customHeight="1">
      <x:c r="A393" s="2"/>
      <x:c r="B393" s="2"/>
      <x:c r="C393" s="2"/>
      <x:c r="D393" s="2"/>
      <x:c r="E393" s="2"/>
      <x:c r="F393" s="2"/>
      <x:c r="G393" s="2"/>
      <x:c r="H393" s="2"/>
      <x:c r="I393" s="2"/>
    </x:row>
    <x:row r="394" ht="23" customHeight="1">
      <x:c r="A394" s="2"/>
      <x:c r="B394" s="2"/>
      <x:c r="C394" s="2"/>
      <x:c r="D394" s="2"/>
      <x:c r="E394" s="2"/>
      <x:c r="F394" s="2"/>
      <x:c r="G394" s="2"/>
      <x:c r="H394" s="2"/>
      <x:c r="I394" s="2"/>
    </x:row>
    <x:row r="395" ht="23" customHeight="1">
      <x:c r="A395" s="2"/>
      <x:c r="B395" s="2"/>
      <x:c r="C395" s="2"/>
      <x:c r="D395" s="2"/>
      <x:c r="E395" s="2"/>
      <x:c r="F395" s="2"/>
      <x:c r="G395" s="2"/>
      <x:c r="H395" s="2"/>
      <x:c r="I395" s="2"/>
    </x:row>
    <x:row r="396" ht="23" customHeight="1">
      <x:c r="A396" s="2"/>
      <x:c r="B396" s="2"/>
      <x:c r="C396" s="2"/>
      <x:c r="D396" s="2"/>
      <x:c r="E396" s="2"/>
      <x:c r="F396" s="2"/>
      <x:c r="G396" s="2"/>
      <x:c r="H396" s="2"/>
      <x:c r="I396" s="2"/>
    </x:row>
    <x:row r="397" ht="23" customHeight="1">
      <x:c r="A397" s="2"/>
      <x:c r="B397" s="2"/>
      <x:c r="C397" s="2"/>
      <x:c r="D397" s="2"/>
      <x:c r="E397" s="2"/>
      <x:c r="F397" s="2"/>
      <x:c r="G397" s="2"/>
      <x:c r="H397" s="2"/>
      <x:c r="I397" s="2"/>
    </x:row>
    <x:row r="398" ht="23" customHeight="1">
      <x:c r="A398" s="2"/>
      <x:c r="B398" s="2"/>
      <x:c r="C398" s="2"/>
      <x:c r="D398" s="2"/>
      <x:c r="E398" s="2"/>
      <x:c r="F398" s="2"/>
      <x:c r="G398" s="2"/>
      <x:c r="H398" s="2"/>
      <x:c r="I398" s="2"/>
    </x:row>
    <x:row r="399" ht="23" customHeight="1">
      <x:c r="A399" s="2"/>
      <x:c r="B399" s="2"/>
      <x:c r="C399" s="2"/>
      <x:c r="D399" s="2"/>
      <x:c r="E399" s="2"/>
      <x:c r="F399" s="2"/>
      <x:c r="G399" s="2"/>
      <x:c r="H399" s="2"/>
      <x:c r="I399" s="2"/>
    </x:row>
    <x:row r="400" ht="23" customHeight="1">
      <x:c r="A400" s="2"/>
      <x:c r="B400" s="2"/>
      <x:c r="C400" s="2"/>
      <x:c r="D400" s="2"/>
      <x:c r="E400" s="2"/>
      <x:c r="F400" s="2"/>
      <x:c r="G400" s="2"/>
      <x:c r="H400" s="2"/>
      <x:c r="I400" s="2"/>
    </x:row>
  </x:sheetData>
  <x:mergeCells>
    <x:mergeCell ref="A1:I1"/>
    <x:mergeCell ref="A2:I2"/>
    <x:mergeCell ref="A17:I17"/>
    <x:mergeCell ref="A18:I18"/>
    <x:mergeCell ref="A19:I19"/>
    <x:mergeCell ref="A20:I20"/>
    <x:mergeCell ref="A21:I21"/>
    <x:mergeCell ref="A22:I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.670000076293945" hidden="0" customWidth="1"/>
    <x:col min="2" max="2" width="26.110000610351562" hidden="0" customWidth="1"/>
    <x:col min="3" max="3" width="27.780000686645508" hidden="0" customWidth="1"/>
    <x:col min="4" max="4" width="36.66999816894531" hidden="0" customWidth="1"/>
    <x:col min="5" max="5" width="60" hidden="0" customWidth="1"/>
  </x:cols>
  <x:sheetData>
    <x:row r="1" ht="43" customHeight="1">
      <x:c r="A1" s="4" t="str">
        <x:v>供给瓶颈与利润归属</x:v>
      </x:c>
      <x:c r="B1" s="4"/>
      <x:c r="C1" s="4"/>
      <x:c r="D1" s="4"/>
      <x:c r="E1" s="4"/>
    </x:row>
    <x:row r="2" ht="30" customHeight="1">
      <x:c r="A2" s="5" t="str">
        <x:v>排序按补充供给的难度；交期为报告或公司披露的范围，不代表每一个项目。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次序</x:v>
      </x:c>
      <x:c r="B4" s="8" t="str">
        <x:v>环节</x:v>
      </x:c>
      <x:c r="C4" s="8" t="str">
        <x:v>补供给周期</x:v>
      </x:c>
      <x:c r="D4" s="8" t="str">
        <x:v>限制因素</x:v>
      </x:c>
      <x:c r="E4" s="8" t="str">
        <x:v>利润归属与来源</x:v>
      </x:c>
    </x:row>
    <x:row r="5" ht="45" customHeight="1">
      <x:c r="A5" s="10" t="str">
        <x:v>1</x:v>
      </x:c>
      <x:c r="B5" s="10" t="str">
        <x:v>并网与可用电力</x:v>
      </x:c>
      <x:c r="C5" s="10" t="str">
        <x:v>部分地区 5–10 年</x:v>
      </x:c>
      <x:c r="D5" s="10" t="str">
        <x:v>审批、线路和建设周期</x:v>
      </x:c>
      <x:c r="E5" s="10" t="str">
        <x:v>存量商业发电可签长期溢价合同；受监管电网另看资本成本回收</x:v>
      </x:c>
    </x:row>
    <x:row r="6" ht="45" customHeight="1">
      <x:c r="A6" s="15" t="str">
        <x:v>2</x:v>
      </x:c>
      <x:c r="B6" s="15" t="str">
        <x:v>大型变压器与高压设备</x:v>
      </x:c>
      <x:c r="C6" s="15" t="str">
        <x:v>变压器约 2–3 年</x:v>
      </x:c>
      <x:c r="D6" s="15" t="str">
        <x:v>测试、熟练工、认证与工厂</x:v>
      </x:c>
      <x:c r="E6" s="15" t="str">
        <x:v>新订单提价，但原料和固定合同影响毛利</x:v>
      </x:c>
    </x:row>
    <x:row r="7" ht="45" customHeight="1">
      <x:c r="A7" s="10" t="str">
        <x:v>3</x:v>
      </x:c>
      <x:c r="B7" s="10" t="str">
        <x:v>大型燃气轮机</x:v>
      </x:c>
      <x:c r="C7" s="10" t="str">
        <x:v>约 5 年交期</x:v>
      </x:c>
      <x:c r="D7" s="10" t="str">
        <x:v>热端制造、供应链和现场工程</x:v>
      </x:c>
      <x:c r="E7" s="10" t="str">
        <x:v>设备提价加长期服务；扩产缓慢</x:v>
      </x:c>
    </x:row>
    <x:row r="8" ht="45" customHeight="1">
      <x:c r="A8" s="15" t="str">
        <x:v>4</x:v>
      </x:c>
      <x:c r="B8" s="15" t="str">
        <x:v>HBM 高带宽存储</x:v>
      </x:c>
      <x:c r="C8" s="15" t="str">
        <x:v>供给压力可能延续至 2027 末</x:v>
      </x:c>
      <x:c r="D8" s="15" t="str">
        <x:v>晶圆消耗、良率和先进封装</x:v>
      </x:c>
      <x:c r="E8" s="15" t="str">
        <x:v>长期保量协议有利；2027 扩产可能压价</x:v>
      </x:c>
    </x:row>
    <x:row r="9" ht="45" customHeight="1">
      <x:c r="A9" s="10" t="str">
        <x:v>5</x:v>
      </x:c>
      <x:c r="B9" s="10" t="str">
        <x:v>先进制程与先进封装</x:v>
      </x:c>
      <x:c r="C9" s="10" t="str">
        <x:v>至少覆盖近期产能爬坡</x:v>
      </x:c>
      <x:c r="D9" s="10" t="str">
        <x:v>工艺、良率、设备与客户认证</x:v>
      </x:c>
      <x:c r="E9" s="10" t="str">
        <x:v>高利用率与组合升级；重资本支出分走现金</x:v>
      </x:c>
    </x:row>
    <x:row r="10" ht="45" customHeight="1">
      <x:c r="A10" s="15" t="str">
        <x:v>6</x:v>
      </x:c>
      <x:c r="B10" s="15" t="str">
        <x:v>机柜供电、液冷与集成</x:v>
      </x:c>
      <x:c r="C10" s="15" t="str">
        <x:v>随项目与认证变化</x:v>
      </x:c>
      <x:c r="D10" s="15" t="str">
        <x:v>工程、服务和系统交付</x:v>
      </x:c>
      <x:c r="E10" s="15" t="str">
        <x:v>服务网络更难复制；标准部件可扩产</x:v>
      </x:c>
    </x:row>
    <x:row r="11" ht="45" customHeight="1">
      <x:c r="A11" s="10" t="str">
        <x:v>7</x:v>
      </x:c>
      <x:c r="B11" s="10" t="str">
        <x:v>光互连与交换网络</x:v>
      </x:c>
      <x:c r="C11" s="10" t="str">
        <x:v>新品导入存在局部约束</x:v>
      </x:c>
      <x:c r="D11" s="10" t="str">
        <x:v>高速光学、良率和客户认证</x:v>
      </x:c>
      <x:c r="E11" s="10" t="str">
        <x:v>可能享受新品溢价；架构替代与扩产较快</x:v>
      </x:c>
    </x:row>
    <x:row r="12" ht="45" customHeight="1">
      <x:c r="A12" s="15" t="str">
        <x:v>8</x:v>
      </x:c>
      <x:c r="B12" s="15" t="str">
        <x:v>GPU、ASIC 与服务器</x:v>
      </x:c>
      <x:c r="C12" s="15" t="str">
        <x:v>依赖上游制造和存储</x:v>
      </x:c>
      <x:c r="D12" s="15" t="str">
        <x:v>软件生态、芯片设计与供应配额</x:v>
      </x:c>
      <x:c r="E12" s="15" t="str">
        <x:v>设计商可获高利润；整机组装议价力较弱</x:v>
      </x:c>
    </x:row>
    <x:row r="13" ht="45" customHeight="1">
      <x:c r="A13" s="10" t="str">
        <x:v>9</x:v>
      </x:c>
      <x:c r="B13" s="10" t="str">
        <x:v>新核电、通用机房与土地</x:v>
      </x:c>
      <x:c r="C13" s="10" t="str">
        <x:v>新核电主要在 2030 年以后</x:v>
      </x:c>
      <x:c r="D13" s="10" t="str">
        <x:v>许可、融资、建设和利用率</x:v>
      </x:c>
      <x:c r="E13" s="10" t="str">
        <x:v>长周期投资先付钱；新核电超出本次窗口</x:v>
      </x:c>
    </x:row>
    <x:row r="14" ht="23" customHeight="1">
      <x:c r="A14" s="2"/>
      <x:c r="B14" s="2"/>
      <x:c r="C14" s="2"/>
      <x:c r="D14" s="2"/>
      <x:c r="E14" s="2"/>
    </x:row>
    <x:row r="15" ht="23" customHeight="1">
      <x:c r="A15" s="2"/>
      <x:c r="B15" s="2"/>
      <x:c r="C15" s="2"/>
      <x:c r="D15" s="2"/>
      <x:c r="E15" s="2"/>
    </x:row>
    <x:row r="16" ht="42" customHeight="1">
      <x:c r="A16" s="9" t="str">
        <x:v>并网与可用电力：Talen 已有核电 PPA；Constellation 重启目标 2027，合同爬坡需逐年核对。来源：M01 pp21,64；MP01–MP06</x:v>
      </x:c>
      <x:c r="B16" s="9"/>
      <x:c r="C16" s="9"/>
      <x:c r="D16" s="9"/>
      <x:c r="E16" s="9"/>
    </x:row>
    <x:row r="17" ht="42" customHeight="1">
      <x:c r="A17" s="9" t="str">
        <x:v>大型变压器与高压设备：西门子能源、GEV；需核对净价格贡献。来源：M01 p21；P07；P13</x:v>
      </x:c>
      <x:c r="B17" s="9"/>
      <x:c r="C17" s="9"/>
      <x:c r="D17" s="9"/>
      <x:c r="E17" s="9"/>
    </x:row>
    <x:row r="18" ht="42" customHeight="1">
      <x:c r="A18" s="9" t="str">
        <x:v>大型燃气轮机：GEV、西门子能源；排除单靠预付款的收益。来源：M01 pp21,63；P02；P05</x:v>
      </x:c>
      <x:c r="B18" s="9"/>
      <x:c r="C18" s="9"/>
      <x:c r="D18" s="9"/>
      <x:c r="E18" s="9"/>
    </x:row>
    <x:row r="19" ht="42" customHeight="1">
      <x:c r="A19" s="9" t="str">
        <x:v>HBM 高带宽存储：SK 海力士、Micron；采用回落后的利润率。来源：M01 pp21–22；SEMI01/02/05/11</x:v>
      </x:c>
      <x:c r="B19" s="9"/>
      <x:c r="C19" s="9"/>
      <x:c r="D19" s="9"/>
      <x:c r="E19" s="9"/>
    </x:row>
    <x:row r="20" ht="42" customHeight="1">
      <x:c r="A20" s="9" t="str">
        <x:v>先进制程与先进封装：台积电优先；封装外包可能分走部分价值。来源：SEMI08/09</x:v>
      </x:c>
      <x:c r="B20" s="9"/>
      <x:c r="C20" s="9"/>
      <x:c r="D20" s="9"/>
      <x:c r="E20" s="9"/>
    </x:row>
    <x:row r="21" ht="42" customHeight="1">
      <x:c r="A21" s="9" t="str">
        <x:v>机柜供电、液冷与集成：Vertiv、施耐德、Eaton。来源：P08/10/11/13</x:v>
      </x:c>
      <x:c r="B21" s="9"/>
      <x:c r="C21" s="9"/>
      <x:c r="D21" s="9"/>
      <x:c r="E21" s="9"/>
    </x:row>
    <x:row r="22" ht="42" customHeight="1">
      <x:c r="A22" s="9" t="str">
        <x:v>光互连与交换网络：Broadcom、Arista、Lumentum 为补充候选。来源：SEMI12/13</x:v>
      </x:c>
      <x:c r="B22" s="9"/>
      <x:c r="C22" s="9"/>
      <x:c r="D22" s="9"/>
      <x:c r="E22" s="9"/>
    </x:row>
    <x:row r="23" ht="42" customHeight="1">
      <x:c r="A23" s="9" t="str">
        <x:v>GPU、ASIC 与服务器：NVIDIA、Broadcom 作对照；不把热度当稀缺证据。来源：SEMI10/12</x:v>
      </x:c>
      <x:c r="B23" s="9"/>
      <x:c r="C23" s="9"/>
      <x:c r="D23" s="9"/>
      <x:c r="E23" s="9"/>
    </x:row>
    <x:row r="24" ht="42" customHeight="1">
      <x:c r="A24" s="9" t="str">
        <x:v>新核电、通用机房与土地：本轮不作为主要投资表达。来源：M01 pp11,64–65</x:v>
      </x:c>
      <x:c r="B24" s="9"/>
      <x:c r="C24" s="9"/>
      <x:c r="D24" s="9"/>
      <x:c r="E24" s="9"/>
    </x:row>
    <x:row r="25" ht="23" customHeight="1">
      <x:c r="A25" s="2"/>
      <x:c r="B25" s="2"/>
      <x:c r="C25" s="2"/>
      <x:c r="D25" s="2"/>
      <x:c r="E25" s="2"/>
    </x:row>
    <x:row r="26" ht="23" customHeight="1">
      <x:c r="A26" s="2"/>
      <x:c r="B26" s="2"/>
      <x:c r="C26" s="2"/>
      <x:c r="D26" s="2"/>
      <x:c r="E26" s="2"/>
    </x:row>
    <x:row r="27" ht="23" customHeight="1">
      <x:c r="A27" s="2"/>
      <x:c r="B27" s="2"/>
      <x:c r="C27" s="2"/>
      <x:c r="D27" s="2"/>
      <x:c r="E27" s="2"/>
    </x:row>
    <x:row r="28" ht="23" customHeight="1">
      <x:c r="A28" s="2"/>
      <x:c r="B28" s="2"/>
      <x:c r="C28" s="2"/>
      <x:c r="D28" s="2"/>
      <x:c r="E28" s="2"/>
    </x:row>
    <x:row r="29" ht="23" customHeight="1">
      <x:c r="A29" s="2"/>
      <x:c r="B29" s="2"/>
      <x:c r="C29" s="2"/>
      <x:c r="D29" s="2"/>
      <x:c r="E29" s="2"/>
    </x:row>
    <x:row r="30" ht="23" customHeight="1">
      <x:c r="A30" s="2"/>
      <x:c r="B30" s="2"/>
      <x:c r="C30" s="2"/>
      <x:c r="D30" s="2"/>
      <x:c r="E30" s="2"/>
    </x:row>
    <x:row r="31" ht="23" customHeight="1">
      <x:c r="A31" s="2"/>
      <x:c r="B31" s="2"/>
      <x:c r="C31" s="2"/>
      <x:c r="D31" s="2"/>
      <x:c r="E31" s="2"/>
    </x:row>
    <x:row r="32" ht="23" customHeight="1">
      <x:c r="A32" s="2"/>
      <x:c r="B32" s="2"/>
      <x:c r="C32" s="2"/>
      <x:c r="D32" s="2"/>
      <x:c r="E32" s="2"/>
    </x:row>
    <x:row r="33" ht="23" customHeight="1">
      <x:c r="A33" s="2"/>
      <x:c r="B33" s="2"/>
      <x:c r="C33" s="2"/>
      <x:c r="D33" s="2"/>
      <x:c r="E33" s="2"/>
    </x:row>
    <x:row r="34" ht="23" customHeight="1">
      <x:c r="A34" s="2"/>
      <x:c r="B34" s="2"/>
      <x:c r="C34" s="2"/>
      <x:c r="D34" s="2"/>
      <x:c r="E34" s="2"/>
    </x:row>
    <x:row r="35" ht="23" customHeight="1">
      <x:c r="A35" s="2"/>
      <x:c r="B35" s="2"/>
      <x:c r="C35" s="2"/>
      <x:c r="D35" s="2"/>
      <x:c r="E35" s="2"/>
    </x:row>
    <x:row r="36" ht="23" customHeight="1">
      <x:c r="A36" s="2"/>
      <x:c r="B36" s="2"/>
      <x:c r="C36" s="2"/>
      <x:c r="D36" s="2"/>
      <x:c r="E36" s="2"/>
    </x:row>
    <x:row r="37" ht="23" customHeight="1">
      <x:c r="A37" s="2"/>
      <x:c r="B37" s="2"/>
      <x:c r="C37" s="2"/>
      <x:c r="D37" s="2"/>
      <x:c r="E37" s="2"/>
    </x:row>
    <x:row r="38" ht="23" customHeight="1">
      <x:c r="A38" s="2"/>
      <x:c r="B38" s="2"/>
      <x:c r="C38" s="2"/>
      <x:c r="D38" s="2"/>
      <x:c r="E38" s="2"/>
    </x:row>
    <x:row r="39" ht="23" customHeight="1">
      <x:c r="A39" s="2"/>
      <x:c r="B39" s="2"/>
      <x:c r="C39" s="2"/>
      <x:c r="D39" s="2"/>
      <x:c r="E39" s="2"/>
    </x:row>
    <x:row r="40" ht="23" customHeight="1">
      <x:c r="A40" s="2"/>
      <x:c r="B40" s="2"/>
      <x:c r="C40" s="2"/>
      <x:c r="D40" s="2"/>
      <x:c r="E40" s="2"/>
    </x:row>
    <x:row r="41" ht="23" customHeight="1">
      <x:c r="A41" s="2"/>
      <x:c r="B41" s="2"/>
      <x:c r="C41" s="2"/>
      <x:c r="D41" s="2"/>
      <x:c r="E41" s="2"/>
    </x:row>
    <x:row r="42" ht="23" customHeight="1">
      <x:c r="A42" s="2"/>
      <x:c r="B42" s="2"/>
      <x:c r="C42" s="2"/>
      <x:c r="D42" s="2"/>
      <x:c r="E42" s="2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16:E16"/>
    <x:mergeCell ref="A17:E17"/>
    <x:mergeCell ref="A18:E18"/>
    <x:mergeCell ref="A19:E19"/>
    <x:mergeCell ref="A20:E20"/>
    <x:mergeCell ref="A21:E21"/>
    <x:mergeCell ref="A22:E22"/>
    <x:mergeCell ref="A23:E23"/>
    <x:mergeCell ref="A24:E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6.670000076293945" hidden="0" customWidth="1"/>
    <x:col min="3" max="3" width="21.110000610351562" hidden="0" customWidth="1"/>
    <x:col min="4" max="4" width="33.33000183105469" hidden="0" customWidth="1"/>
    <x:col min="5" max="5" width="16.670000076293945" hidden="0" customWidth="1"/>
    <x:col min="6" max="6" width="18.889999389648438" hidden="0" customWidth="1"/>
    <x:col min="7" max="7" width="15.5600004196167" hidden="0" customWidth="1"/>
    <x:col min="8" max="8" width="55.560001373291016" hidden="0" customWidth="1"/>
  </x:cols>
  <x:sheetData>
    <x:row r="1" ht="43" customHeight="1">
      <x:c r="A1" s="4" t="str">
        <x:v>公开披露与财务口径</x:v>
      </x:c>
      <x:c r="B1" s="4"/>
      <x:c r="C1" s="4"/>
      <x:c r="D1" s="4"/>
      <x:c r="E1" s="4"/>
      <x:c r="F1" s="4"/>
      <x:c r="G1" s="4"/>
      <x:c r="H1" s="4"/>
    </x:row>
    <x:row r="2" ht="30" customHeight="1">
      <x:c r="A2" s="5" t="str">
        <x:v>金额均明确列单位；实绩、指引和研究假设分开。来源编号可在来源表检索。</x:v>
      </x:c>
      <x:c r="B2" s="5"/>
      <x:c r="C2" s="5"/>
      <x:c r="D2" s="5"/>
      <x:c r="E2" s="5"/>
      <x:c r="F2" s="5"/>
      <x:c r="G2" s="5"/>
      <x:c r="H2" s="5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38" customHeight="1">
      <x:c r="A4" s="8" t="str">
        <x:v>来源</x:v>
      </x:c>
      <x:c r="B4" s="8" t="str">
        <x:v>公司 / 对象</x:v>
      </x:c>
      <x:c r="C4" s="8" t="str">
        <x:v>期间</x:v>
      </x:c>
      <x:c r="D4" s="8" t="str">
        <x:v>指标</x:v>
      </x:c>
      <x:c r="E4" s="8" t="str">
        <x:v>数值</x:v>
      </x:c>
      <x:c r="F4" s="8" t="str">
        <x:v>单位</x:v>
      </x:c>
      <x:c r="G4" s="8" t="str">
        <x:v>发布日期</x:v>
      </x:c>
      <x:c r="H4" s="8" t="str">
        <x:v>口径与局限</x:v>
      </x:c>
    </x:row>
    <x:row r="5" ht="36" customHeight="1">
      <x:c r="A5" s="10" t="str">
        <x:v>M01</x:v>
      </x:c>
      <x:c r="B5" s="10" t="str">
        <x:v>全球数据中心</x:v>
      </x:c>
      <x:c r="C5" s="10" t="str">
        <x:v>2025</x:v>
      </x:c>
      <x:c r="D5" s="10" t="str">
        <x:v>用电实绩</x:v>
      </x:c>
      <x:c r="E5" s="20" t="n">
        <x:v>485</x:v>
      </x:c>
      <x:c r="F5" s="10" t="str">
        <x:v>TWh</x:v>
      </x:c>
      <x:c r="G5" s="10" t="str">
        <x:v>2026-04-16</x:v>
      </x:c>
      <x:c r="H5" s="10" t="str">
        <x:v>历史估计</x:v>
      </x:c>
    </x:row>
    <x:row r="6" ht="36" customHeight="1">
      <x:c r="A6" s="15" t="str">
        <x:v>M01</x:v>
      </x:c>
      <x:c r="B6" s="15" t="str">
        <x:v>全球数据中心</x:v>
      </x:c>
      <x:c r="C6" s="15" t="str">
        <x:v>2030</x:v>
      </x:c>
      <x:c r="D6" s="15" t="str">
        <x:v>基准用电预测</x:v>
      </x:c>
      <x:c r="E6" s="21" t="n">
        <x:v>950</x:v>
      </x:c>
      <x:c r="F6" s="15" t="str">
        <x:v>TWh</x:v>
      </x:c>
      <x:c r="G6" s="15" t="str">
        <x:v>2026-04-16</x:v>
      </x:c>
      <x:c r="H6" s="15" t="str">
        <x:v>IEA 情景，非订单</x:v>
      </x:c>
    </x:row>
    <x:row r="7" ht="36" customHeight="1">
      <x:c r="A7" s="10" t="str">
        <x:v>M02</x:v>
      </x:c>
      <x:c r="B7" s="10" t="str">
        <x:v>Alphabet</x:v>
      </x:c>
      <x:c r="C7" s="10" t="str">
        <x:v>2026Q2</x:v>
      </x:c>
      <x:c r="D7" s="10" t="str">
        <x:v>Cloud 收入</x:v>
      </x:c>
      <x:c r="E7" s="20" t="n">
        <x:v>24768</x:v>
      </x:c>
      <x:c r="F7" s="10" t="str">
        <x:v>USD million</x:v>
      </x:c>
      <x:c r="G7" s="10" t="str">
        <x:v>2026-07-22</x:v>
      </x:c>
      <x:c r="H7" s="10" t="str">
        <x:v>包括非 AI 云业务</x:v>
      </x:c>
    </x:row>
    <x:row r="8" ht="36" customHeight="1">
      <x:c r="A8" s="15" t="str">
        <x:v>M02</x:v>
      </x:c>
      <x:c r="B8" s="15" t="str">
        <x:v>Alphabet</x:v>
      </x:c>
      <x:c r="C8" s="15" t="str">
        <x:v>2026Q2</x:v>
      </x:c>
      <x:c r="D8" s="15" t="str">
        <x:v>Cloud 营业利润</x:v>
      </x:c>
      <x:c r="E8" s="21" t="n">
        <x:v>8814</x:v>
      </x:c>
      <x:c r="F8" s="15" t="str">
        <x:v>USD million</x:v>
      </x:c>
      <x:c r="G8" s="15" t="str">
        <x:v>2026-07-22</x:v>
      </x:c>
      <x:c r="H8" s="15" t="str">
        <x:v>业务实绩</x:v>
      </x:c>
    </x:row>
    <x:row r="9" ht="36" customHeight="1">
      <x:c r="A9" s="10" t="str">
        <x:v>M02</x:v>
      </x:c>
      <x:c r="B9" s="10" t="str">
        <x:v>Alphabet</x:v>
      </x:c>
      <x:c r="C9" s="10" t="str">
        <x:v>2026Q2</x:v>
      </x:c>
      <x:c r="D9" s="10" t="str">
        <x:v>CFO</x:v>
      </x:c>
      <x:c r="E9" s="20" t="n">
        <x:v>39069</x:v>
      </x:c>
      <x:c r="F9" s="10" t="str">
        <x:v>USD million</x:v>
      </x:c>
      <x:c r="G9" s="10" t="str">
        <x:v>2026-07-22</x:v>
      </x:c>
      <x:c r="H9" s="10" t="str">
        <x:v>实绩</x:v>
      </x:c>
    </x:row>
    <x:row r="10" ht="36" customHeight="1">
      <x:c r="A10" s="15" t="str">
        <x:v>M02</x:v>
      </x:c>
      <x:c r="B10" s="15" t="str">
        <x:v>Alphabet</x:v>
      </x:c>
      <x:c r="C10" s="15" t="str">
        <x:v>2026Q2</x:v>
      </x:c>
      <x:c r="D10" s="15" t="str">
        <x:v>CapEx</x:v>
      </x:c>
      <x:c r="E10" s="21" t="n">
        <x:v>44924</x:v>
      </x:c>
      <x:c r="F10" s="15" t="str">
        <x:v>USD million</x:v>
      </x:c>
      <x:c r="G10" s="15" t="str">
        <x:v>2026-07-22</x:v>
      </x:c>
      <x:c r="H10" s="15" t="str">
        <x:v>实绩</x:v>
      </x:c>
    </x:row>
    <x:row r="11" ht="36" customHeight="1">
      <x:c r="A11" s="10" t="str">
        <x:v>SEMI09</x:v>
      </x:c>
      <x:c r="B11" s="10" t="str">
        <x:v>台积电</x:v>
      </x:c>
      <x:c r="C11" s="10" t="str">
        <x:v>2026H1</x:v>
      </x:c>
      <x:c r="D11" s="10" t="str">
        <x:v>收入</x:v>
      </x:c>
      <x:c r="E11" s="20" t="n">
        <x:v>2404483.69</x:v>
      </x:c>
      <x:c r="F11" s="10" t="str">
        <x:v>TWD million</x:v>
      </x:c>
      <x:c r="G11" s="10" t="str">
        <x:v>2026-08-14</x:v>
      </x:c>
      <x:c r="H11" s="10" t="str">
        <x:v>IFRS 实绩</x:v>
      </x:c>
    </x:row>
    <x:row r="12" ht="36" customHeight="1">
      <x:c r="A12" s="15" t="str">
        <x:v>SEMI09</x:v>
      </x:c>
      <x:c r="B12" s="15" t="str">
        <x:v>台积电</x:v>
      </x:c>
      <x:c r="C12" s="15" t="str">
        <x:v>2026Q2</x:v>
      </x:c>
      <x:c r="D12" s="15" t="str">
        <x:v>营业利润</x:v>
      </x:c>
      <x:c r="E12" s="21" t="n">
        <x:v>766602.651</x:v>
      </x:c>
      <x:c r="F12" s="15" t="str">
        <x:v>TWD million</x:v>
      </x:c>
      <x:c r="G12" s="15" t="str">
        <x:v>2026-08-14</x:v>
      </x:c>
      <x:c r="H12" s="15" t="str">
        <x:v>IFRS 实绩</x:v>
      </x:c>
    </x:row>
    <x:row r="13" ht="36" customHeight="1">
      <x:c r="A13" s="10" t="str">
        <x:v>SEMI09</x:v>
      </x:c>
      <x:c r="B13" s="10" t="str">
        <x:v>台积电</x:v>
      </x:c>
      <x:c r="C13" s="10" t="str">
        <x:v>2026H1</x:v>
      </x:c>
      <x:c r="D13" s="10" t="str">
        <x:v>CFO</x:v>
      </x:c>
      <x:c r="E13" s="20" t="n">
        <x:v>1482341.242</x:v>
      </x:c>
      <x:c r="F13" s="10" t="str">
        <x:v>TWD million</x:v>
      </x:c>
      <x:c r="G13" s="10" t="str">
        <x:v>2026-08-14</x:v>
      </x:c>
      <x:c r="H13" s="10" t="str">
        <x:v>实绩</x:v>
      </x:c>
    </x:row>
    <x:row r="14" ht="36" customHeight="1">
      <x:c r="A14" s="15" t="str">
        <x:v>SEMI09</x:v>
      </x:c>
      <x:c r="B14" s="15" t="str">
        <x:v>台积电</x:v>
      </x:c>
      <x:c r="C14" s="15" t="str">
        <x:v>2026H1</x:v>
      </x:c>
      <x:c r="D14" s="15" t="str">
        <x:v>PP&amp;E 现金支出</x:v>
      </x:c>
      <x:c r="E14" s="21" t="n">
        <x:v>846764.746</x:v>
      </x:c>
      <x:c r="F14" s="15" t="str">
        <x:v>TWD million</x:v>
      </x:c>
      <x:c r="G14" s="15" t="str">
        <x:v>2026-08-14</x:v>
      </x:c>
      <x:c r="H14" s="15" t="str">
        <x:v>另有无形资产支出 3876.352</x:v>
      </x:c>
    </x:row>
    <x:row r="15" ht="36" customHeight="1">
      <x:c r="A15" s="10" t="str">
        <x:v>SEMI09</x:v>
      </x:c>
      <x:c r="B15" s="10" t="str">
        <x:v>台积电</x:v>
      </x:c>
      <x:c r="C15" s="10" t="str">
        <x:v>2026Q2</x:v>
      </x:c>
      <x:c r="D15" s="10" t="str">
        <x:v>VIS 处置及重估收益</x:v>
      </x:c>
      <x:c r="E15" s="20" t="n">
        <x:v>63202.285</x:v>
      </x:c>
      <x:c r="F15" s="10" t="str">
        <x:v>TWD million</x:v>
      </x:c>
      <x:c r="G15" s="10" t="str">
        <x:v>2026-08-14</x:v>
      </x:c>
      <x:c r="H15" s="10" t="str">
        <x:v>Note13；模型剔除</x:v>
      </x:c>
    </x:row>
    <x:row r="16" ht="36" customHeight="1">
      <x:c r="A16" s="15" t="str">
        <x:v>SEMI03</x:v>
      </x:c>
      <x:c r="B16" s="15" t="str">
        <x:v>Micron</x:v>
      </x:c>
      <x:c r="C16" s="15" t="str">
        <x:v>FY26Q3</x:v>
      </x:c>
      <x:c r="D16" s="15" t="str">
        <x:v>收入</x:v>
      </x:c>
      <x:c r="E16" s="21" t="n">
        <x:v>41456</x:v>
      </x:c>
      <x:c r="F16" s="15" t="str">
        <x:v>USD million</x:v>
      </x:c>
      <x:c r="G16" s="15" t="str">
        <x:v>2026-06-24</x:v>
      </x:c>
      <x:c r="H16" s="15" t="str">
        <x:v>GAAP 实绩</x:v>
      </x:c>
    </x:row>
    <x:row r="17" ht="36" customHeight="1">
      <x:c r="A17" s="10" t="str">
        <x:v>SEMI03</x:v>
      </x:c>
      <x:c r="B17" s="10" t="str">
        <x:v>Micron</x:v>
      </x:c>
      <x:c r="C17" s="10" t="str">
        <x:v>FY26Q3</x:v>
      </x:c>
      <x:c r="D17" s="10" t="str">
        <x:v>营业利润</x:v>
      </x:c>
      <x:c r="E17" s="20" t="n">
        <x:v>33318</x:v>
      </x:c>
      <x:c r="F17" s="10" t="str">
        <x:v>USD million</x:v>
      </x:c>
      <x:c r="G17" s="10" t="str">
        <x:v>2026-06-24</x:v>
      </x:c>
      <x:c r="H17" s="10" t="str">
        <x:v>GAAP 实绩</x:v>
      </x:c>
    </x:row>
    <x:row r="18" ht="36" customHeight="1">
      <x:c r="A18" s="15" t="str">
        <x:v>SEMI03</x:v>
      </x:c>
      <x:c r="B18" s="15" t="str">
        <x:v>Micron</x:v>
      </x:c>
      <x:c r="C18" s="15" t="str">
        <x:v>FY26Q3</x:v>
      </x:c>
      <x:c r="D18" s="15" t="str">
        <x:v>CFO</x:v>
      </x:c>
      <x:c r="E18" s="21" t="n">
        <x:v>25388</x:v>
      </x:c>
      <x:c r="F18" s="15" t="str">
        <x:v>USD million</x:v>
      </x:c>
      <x:c r="G18" s="15" t="str">
        <x:v>2026-06-24</x:v>
      </x:c>
      <x:c r="H18" s="15" t="str">
        <x:v>实绩</x:v>
      </x:c>
    </x:row>
    <x:row r="19" ht="36" customHeight="1">
      <x:c r="A19" s="10" t="str">
        <x:v>SEMI03</x:v>
      </x:c>
      <x:c r="B19" s="10" t="str">
        <x:v>Micron</x:v>
      </x:c>
      <x:c r="C19" s="10" t="str">
        <x:v>FY26Q3</x:v>
      </x:c>
      <x:c r="D19" s="10" t="str">
        <x:v>Gross PP&amp;E</x:v>
      </x:c>
      <x:c r="E19" s="20" t="n">
        <x:v>7826</x:v>
      </x:c>
      <x:c r="F19" s="10" t="str">
        <x:v>USD million</x:v>
      </x:c>
      <x:c r="G19" s="10" t="str">
        <x:v>2026-06-24</x:v>
      </x:c>
      <x:c r="H19" s="10" t="str">
        <x:v>公司调整 FCF 加回部分激励</x:v>
      </x:c>
    </x:row>
    <x:row r="20" ht="36" customHeight="1">
      <x:c r="A20" s="15" t="str">
        <x:v>SEMI01</x:v>
      </x:c>
      <x:c r="B20" s="15" t="str">
        <x:v>Micron</x:v>
      </x:c>
      <x:c r="C20" s="15" t="str">
        <x:v>2026–2030</x:v>
      </x:c>
      <x:c r="D20" s="15" t="str">
        <x:v>14 份协议最低累计收入</x:v>
      </x:c>
      <x:c r="E20" s="21" t="n">
        <x:v>100000</x:v>
      </x:c>
      <x:c r="F20" s="15" t="str">
        <x:v>USD million</x:v>
      </x:c>
      <x:c r="G20" s="15" t="str">
        <x:v>2026-06-24</x:v>
      </x:c>
      <x:c r="H20" s="15" t="str">
        <x:v>多年合计；地板价格未披露</x:v>
      </x:c>
    </x:row>
    <x:row r="21" ht="36" customHeight="1">
      <x:c r="A21" s="10" t="str">
        <x:v>SEMI01</x:v>
      </x:c>
      <x:c r="B21" s="10" t="str">
        <x:v>Micron</x:v>
      </x:c>
      <x:c r="C21" s="10" t="str">
        <x:v>2026Q3 披露</x:v>
      </x:c>
      <x:c r="D21" s="10" t="str">
        <x:v>协议预计带来的可退款存款</x:v>
      </x:c>
      <x:c r="E21" s="20" t="n">
        <x:v>18000</x:v>
      </x:c>
      <x:c r="F21" s="10" t="str">
        <x:v>USD million</x:v>
      </x:c>
      <x:c r="G21" s="10" t="str">
        <x:v>2026-06-24</x:v>
      </x:c>
      <x:c r="H21" s="10" t="str">
        <x:v>预计未来收到；收款时列融资现金流</x:v>
      </x:c>
    </x:row>
    <x:row r="22" ht="36" customHeight="1">
      <x:c r="A22" s="15" t="str">
        <x:v>SEMI05</x:v>
      </x:c>
      <x:c r="B22" s="15" t="str">
        <x:v>SK 海力士</x:v>
      </x:c>
      <x:c r="C22" s="15" t="str">
        <x:v>2026Q2</x:v>
      </x:c>
      <x:c r="D22" s="15" t="str">
        <x:v>收入</x:v>
      </x:c>
      <x:c r="E22" s="21" t="n">
        <x:v>79318700</x:v>
      </x:c>
      <x:c r="F22" s="15" t="str">
        <x:v>KRW million</x:v>
      </x:c>
      <x:c r="G22" s="15" t="str">
        <x:v>2026-07-29</x:v>
      </x:c>
      <x:c r="H22" s="15" t="str">
        <x:v>实绩</x:v>
      </x:c>
    </x:row>
    <x:row r="23" ht="36" customHeight="1">
      <x:c r="A23" s="10" t="str">
        <x:v>SEMI05</x:v>
      </x:c>
      <x:c r="B23" s="10" t="str">
        <x:v>SK 海力士</x:v>
      </x:c>
      <x:c r="C23" s="10" t="str">
        <x:v>2026Q2</x:v>
      </x:c>
      <x:c r="D23" s="10" t="str">
        <x:v>营业利润</x:v>
      </x:c>
      <x:c r="E23" s="20" t="n">
        <x:v>60542600</x:v>
      </x:c>
      <x:c r="F23" s="10" t="str">
        <x:v>KRW million</x:v>
      </x:c>
      <x:c r="G23" s="10" t="str">
        <x:v>2026-07-29</x:v>
      </x:c>
      <x:c r="H23" s="10" t="str">
        <x:v>实绩</x:v>
      </x:c>
    </x:row>
    <x:row r="24" ht="36" customHeight="1">
      <x:c r="A24" s="15" t="str">
        <x:v>SEMI05</x:v>
      </x:c>
      <x:c r="B24" s="15" t="str">
        <x:v>SK 海力士</x:v>
      </x:c>
      <x:c r="C24" s="15" t="str">
        <x:v>2026Q2</x:v>
      </x:c>
      <x:c r="D24" s="15" t="str">
        <x:v>投资资产收益</x:v>
      </x:c>
      <x:c r="E24" s="21" t="n">
        <x:v>63270000</x:v>
      </x:c>
      <x:c r="F24" s="15" t="str">
        <x:v>KRW million</x:v>
      </x:c>
      <x:c r="G24" s="15" t="str">
        <x:v>2026-07-29</x:v>
      </x:c>
      <x:c r="H24" s="15" t="str">
        <x:v>模型完全剔除</x:v>
      </x:c>
    </x:row>
    <x:row r="25" ht="36" customHeight="1">
      <x:c r="A25" s="10" t="str">
        <x:v>SEMI05</x:v>
      </x:c>
      <x:c r="B25" s="10" t="str">
        <x:v>SK 海力士</x:v>
      </x:c>
      <x:c r="C25" s="10" t="str">
        <x:v>2026H1</x:v>
      </x:c>
      <x:c r="D25" s="10" t="str">
        <x:v>CFO</x:v>
      </x:c>
      <x:c r="E25" s="20" t="n">
        <x:v>92140000</x:v>
      </x:c>
      <x:c r="F25" s="10" t="str">
        <x:v>KRW million</x:v>
      </x:c>
      <x:c r="G25" s="10" t="str">
        <x:v>2026-07-29</x:v>
      </x:c>
      <x:c r="H25" s="10" t="str">
        <x:v>实绩</x:v>
      </x:c>
    </x:row>
    <x:row r="26" ht="36" customHeight="1">
      <x:c r="A26" s="15" t="str">
        <x:v>SEMI05</x:v>
      </x:c>
      <x:c r="B26" s="15" t="str">
        <x:v>SK 海力士</x:v>
      </x:c>
      <x:c r="C26" s="15" t="str">
        <x:v>2026H1</x:v>
      </x:c>
      <x:c r="D26" s="15" t="str">
        <x:v>PP&amp;E</x:v>
      </x:c>
      <x:c r="E26" s="21" t="n">
        <x:v>18328000</x:v>
      </x:c>
      <x:c r="F26" s="15" t="str">
        <x:v>KRW million</x:v>
      </x:c>
      <x:c r="G26" s="15" t="str">
        <x:v>2026-07-29</x:v>
      </x:c>
      <x:c r="H26" s="15" t="str">
        <x:v>未扣无形资产与租赁</x:v>
      </x:c>
    </x:row>
    <x:row r="27" ht="36" customHeight="1">
      <x:c r="A27" s="10" t="str">
        <x:v>SEMI06</x:v>
      </x:c>
      <x:c r="B27" s="10" t="str">
        <x:v>SK 海力士</x:v>
      </x:c>
      <x:c r="C27" s="10" t="str">
        <x:v>2026-08-19 公告</x:v>
      </x:c>
      <x:c r="D27" s="10" t="str">
        <x:v>回购注销计划</x:v>
      </x:c>
      <x:c r="E27" s="20" t="n">
        <x:v>40000000</x:v>
      </x:c>
      <x:c r="F27" s="10" t="str">
        <x:v>KRW million</x:v>
      </x:c>
      <x:c r="G27" s="10" t="str">
        <x:v>2026-08-19</x:v>
      </x:c>
      <x:c r="H27" s="10" t="str">
        <x:v>董事会批准；尚未完成</x:v>
      </x:c>
    </x:row>
    <x:row r="28" ht="36" customHeight="1">
      <x:c r="A28" s="15" t="str">
        <x:v>P01</x:v>
      </x:c>
      <x:c r="B28" s="15" t="str">
        <x:v>GEV</x:v>
      </x:c>
      <x:c r="C28" s="15" t="str">
        <x:v>2026H1</x:v>
      </x:c>
      <x:c r="D28" s="15" t="str">
        <x:v>CFO</x:v>
      </x:c>
      <x:c r="E28" s="21" t="n">
        <x:v>10680</x:v>
      </x:c>
      <x:c r="F28" s="15" t="str">
        <x:v>USD million</x:v>
      </x:c>
      <x:c r="G28" s="15" t="str">
        <x:v>2026-07-22</x:v>
      </x:c>
      <x:c r="H28" s="15" t="str">
        <x:v>包含营运资本流入约 11700</x:v>
      </x:c>
    </x:row>
    <x:row r="29" ht="36" customHeight="1">
      <x:c r="A29" s="10" t="str">
        <x:v>P01</x:v>
      </x:c>
      <x:c r="B29" s="10" t="str">
        <x:v>GEV</x:v>
      </x:c>
      <x:c r="C29" s="10" t="str">
        <x:v>2026H1</x:v>
      </x:c>
      <x:c r="D29" s="10" t="str">
        <x:v>资本开支</x:v>
      </x:c>
      <x:c r="E29" s="20" t="n">
        <x:v>783</x:v>
      </x:c>
      <x:c r="F29" s="10" t="str">
        <x:v>USD million</x:v>
      </x:c>
      <x:c r="G29" s="10" t="str">
        <x:v>2026-07-22</x:v>
      </x:c>
      <x:c r="H29" s="10" t="str">
        <x:v>包含软件</x:v>
      </x:c>
    </x:row>
    <x:row r="30" ht="36" customHeight="1">
      <x:c r="A30" s="15" t="str">
        <x:v>P14</x:v>
      </x:c>
      <x:c r="B30" s="15" t="str">
        <x:v>GEV</x:v>
      </x:c>
      <x:c r="C30" s="15" t="str">
        <x:v>2026H1</x:v>
      </x:c>
      <x:c r="D30" s="15" t="str">
        <x:v>Prolec 重估税前收益</x:v>
      </x:c>
      <x:c r="E30" s="21" t="n">
        <x:v>3992</x:v>
      </x:c>
      <x:c r="F30" s="15" t="str">
        <x:v>USD million</x:v>
      </x:c>
      <x:c r="G30" s="15" t="str">
        <x:v>2026-07-22</x:v>
      </x:c>
      <x:c r="H30" s="15" t="str">
        <x:v>模型剔除</x:v>
      </x:c>
    </x:row>
    <x:row r="31" ht="36" customHeight="1">
      <x:c r="A31" s="10" t="str">
        <x:v>P02</x:v>
      </x:c>
      <x:c r="B31" s="10" t="str">
        <x:v>GEV</x:v>
      </x:c>
      <x:c r="C31" s="10" t="str">
        <x:v>2026Q2</x:v>
      </x:c>
      <x:c r="D31" s="10" t="str">
        <x:v>气机设备积压</x:v>
      </x:c>
      <x:c r="E31" s="20" t="n">
        <x:v>53</x:v>
      </x:c>
      <x:c r="F31" s="10" t="str">
        <x:v>GW</x:v>
      </x:c>
      <x:c r="G31" s="10" t="str">
        <x:v>2026-07-22</x:v>
      </x:c>
      <x:c r="H31" s="10" t="str">
        <x:v>正式积压</x:v>
      </x:c>
    </x:row>
    <x:row r="32" ht="36" customHeight="1">
      <x:c r="A32" s="15" t="str">
        <x:v>P02</x:v>
      </x:c>
      <x:c r="B32" s="15" t="str">
        <x:v>GEV</x:v>
      </x:c>
      <x:c r="C32" s="15" t="str">
        <x:v>2026Q2</x:v>
      </x:c>
      <x:c r="D32" s="15" t="str">
        <x:v>气机产能预订</x:v>
      </x:c>
      <x:c r="E32" s="21" t="n">
        <x:v>63</x:v>
      </x:c>
      <x:c r="F32" s="15" t="str">
        <x:v>GW</x:v>
      </x:c>
      <x:c r="G32" s="15" t="str">
        <x:v>2026-07-22</x:v>
      </x:c>
      <x:c r="H32" s="15" t="str">
        <x:v>预订；不是正式设备积压</x:v>
      </x:c>
    </x:row>
    <x:row r="33" ht="36" customHeight="1">
      <x:c r="A33" s="10" t="str">
        <x:v>P08</x:v>
      </x:c>
      <x:c r="B33" s="10" t="str">
        <x:v>Eaton</x:v>
      </x:c>
      <x:c r="C33" s="10" t="str">
        <x:v>2026Q2</x:v>
      </x:c>
      <x:c r="D33" s="10" t="str">
        <x:v>美洲电气利润率</x:v>
      </x:c>
      <x:c r="E33" s="12" t="n">
        <x:v>0.275</x:v>
      </x:c>
      <x:c r="F33" s="10" t="str">
        <x:v>ratio</x:v>
      </x:c>
      <x:c r="G33" s="10" t="str">
        <x:v>2026-07-31</x:v>
      </x:c>
      <x:c r="H33" s="10" t="str">
        <x:v>去年同期 29.5%</x:v>
      </x:c>
    </x:row>
    <x:row r="34" ht="36" customHeight="1">
      <x:c r="A34" s="15" t="str">
        <x:v>P08</x:v>
      </x:c>
      <x:c r="B34" s="15" t="str">
        <x:v>Eaton</x:v>
      </x:c>
      <x:c r="C34" s="15" t="str">
        <x:v>2026Q2</x:v>
      </x:c>
      <x:c r="D34" s="15" t="str">
        <x:v>美洲电气积压</x:v>
      </x:c>
      <x:c r="E34" s="21" t="n">
        <x:v>15175</x:v>
      </x:c>
      <x:c r="F34" s="15" t="str">
        <x:v>USD million</x:v>
      </x:c>
      <x:c r="G34" s="15" t="str">
        <x:v>2026-07-31</x:v>
      </x:c>
      <x:c r="H34" s="15" t="str">
        <x:v>同比 +33%</x:v>
      </x:c>
    </x:row>
    <x:row r="35" ht="36" customHeight="1">
      <x:c r="A35" s="10" t="str">
        <x:v>P09</x:v>
      </x:c>
      <x:c r="B35" s="10" t="str">
        <x:v>Eaton</x:v>
      </x:c>
      <x:c r="C35" s="10" t="str">
        <x:v>2026H1</x:v>
      </x:c>
      <x:c r="D35" s="10" t="str">
        <x:v>CFO</x:v>
      </x:c>
      <x:c r="E35" s="20" t="n">
        <x:v>1634</x:v>
      </x:c>
      <x:c r="F35" s="10" t="str">
        <x:v>USD million</x:v>
      </x:c>
      <x:c r="G35" s="10" t="str">
        <x:v>2026-07-31</x:v>
      </x:c>
      <x:c r="H35" s="10" t="str">
        <x:v>实绩</x:v>
      </x:c>
    </x:row>
    <x:row r="36" ht="36" customHeight="1">
      <x:c r="A36" s="15" t="str">
        <x:v>P09</x:v>
      </x:c>
      <x:c r="B36" s="15" t="str">
        <x:v>Eaton</x:v>
      </x:c>
      <x:c r="C36" s="15" t="str">
        <x:v>2026H1</x:v>
      </x:c>
      <x:c r="D36" s="15" t="str">
        <x:v>CapEx</x:v>
      </x:c>
      <x:c r="E36" s="21" t="n">
        <x:v>446</x:v>
      </x:c>
      <x:c r="F36" s="15" t="str">
        <x:v>USD million</x:v>
      </x:c>
      <x:c r="G36" s="15" t="str">
        <x:v>2026-07-31</x:v>
      </x:c>
      <x:c r="H36" s="15" t="str">
        <x:v>实绩</x:v>
      </x:c>
    </x:row>
    <x:row r="37" ht="36" customHeight="1">
      <x:c r="A37" s="10" t="str">
        <x:v>P11</x:v>
      </x:c>
      <x:c r="B37" s="10" t="str">
        <x:v>Vertiv</x:v>
      </x:c>
      <x:c r="C37" s="10" t="str">
        <x:v>2026H1</x:v>
      </x:c>
      <x:c r="D37" s="10" t="str">
        <x:v>CFO</x:v>
      </x:c>
      <x:c r="E37" s="20" t="n">
        <x:v>1866.6</x:v>
      </x:c>
      <x:c r="F37" s="10" t="str">
        <x:v>USD million</x:v>
      </x:c>
      <x:c r="G37" s="10" t="str">
        <x:v>2026-07-29</x:v>
      </x:c>
      <x:c r="H37" s="10" t="str">
        <x:v>包含营运资本贡献 678.8</x:v>
      </x:c>
    </x:row>
    <x:row r="38" ht="36" customHeight="1">
      <x:c r="A38" s="15" t="str">
        <x:v>P11</x:v>
      </x:c>
      <x:c r="B38" s="15" t="str">
        <x:v>Vertiv</x:v>
      </x:c>
      <x:c r="C38" s="15" t="str">
        <x:v>2026H1</x:v>
      </x:c>
      <x:c r="D38" s="15" t="str">
        <x:v>PP&amp;E</x:v>
      </x:c>
      <x:c r="E38" s="21" t="n">
        <x:v>285.9</x:v>
      </x:c>
      <x:c r="F38" s="15" t="str">
        <x:v>USD million</x:v>
      </x:c>
      <x:c r="G38" s="15" t="str">
        <x:v>2026-07-29</x:v>
      </x:c>
      <x:c r="H38" s="15" t="str">
        <x:v>软件支出另为 2.6</x:v>
      </x:c>
    </x:row>
    <x:row r="39" ht="36" customHeight="1">
      <x:c r="A39" s="10" t="str">
        <x:v>P12</x:v>
      </x:c>
      <x:c r="B39" s="10" t="str">
        <x:v>Vertiv</x:v>
      </x:c>
      <x:c r="C39" s="10" t="str">
        <x:v>2026-09-01 协议</x:v>
      </x:c>
      <x:c r="D39" s="10" t="str">
        <x:v>UIH 首付现金</x:v>
      </x:c>
      <x:c r="E39" s="20" t="n">
        <x:v>1450</x:v>
      </x:c>
      <x:c r="F39" s="10" t="str">
        <x:v>USD million</x:v>
      </x:c>
      <x:c r="G39" s="10" t="str">
        <x:v>2026-09-02</x:v>
      </x:c>
      <x:c r="H39" s="10" t="str">
        <x:v>预计 Q4 交割；最高另付 1150</x:v>
      </x:c>
    </x:row>
    <x:row r="40" ht="36" customHeight="1">
      <x:c r="A40" s="15" t="str">
        <x:v>P13</x:v>
      </x:c>
      <x:c r="B40" s="15" t="str">
        <x:v>施耐德</x:v>
      </x:c>
      <x:c r="C40" s="15" t="str">
        <x:v>2026H1</x:v>
      </x:c>
      <x:c r="D40" s="15" t="str">
        <x:v>营运资本变动前 OCF</x:v>
      </x:c>
      <x:c r="E40" s="21" t="n">
        <x:v>3755</x:v>
      </x:c>
      <x:c r="F40" s="15" t="str">
        <x:v>EUR million</x:v>
      </x:c>
      <x:c r="G40" s="15" t="str">
        <x:v>2026-07-30</x:v>
      </x:c>
      <x:c r="H40" s="15" t="str">
        <x:v>公司定义</x:v>
      </x:c>
    </x:row>
    <x:row r="41" ht="36" customHeight="1">
      <x:c r="A41" s="10" t="str">
        <x:v>P13</x:v>
      </x:c>
      <x:c r="B41" s="10" t="str">
        <x:v>施耐德</x:v>
      </x:c>
      <x:c r="C41" s="10" t="str">
        <x:v>2026H1</x:v>
      </x:c>
      <x:c r="D41" s="10" t="str">
        <x:v>资本开支净额</x:v>
      </x:c>
      <x:c r="E41" s="20" t="n">
        <x:v>669</x:v>
      </x:c>
      <x:c r="F41" s="10" t="str">
        <x:v>EUR million</x:v>
      </x:c>
      <x:c r="G41" s="10" t="str">
        <x:v>2026-07-30</x:v>
      </x:c>
      <x:c r="H41" s="10" t="str">
        <x:v>含无形资产</x:v>
      </x:c>
    </x:row>
    <x:row r="42" ht="36" customHeight="1">
      <x:c r="A42" s="15" t="str">
        <x:v>P13</x:v>
      </x:c>
      <x:c r="B42" s="15" t="str">
        <x:v>施耐德</x:v>
      </x:c>
      <x:c r="C42" s="15" t="str">
        <x:v>2026H1</x:v>
      </x:c>
      <x:c r="D42" s="15" t="str">
        <x:v>贸易营运资本占用</x:v>
      </x:c>
      <x:c r="E42" s="21" t="n">
        <x:v>1208</x:v>
      </x:c>
      <x:c r="F42" s="15" t="str">
        <x:v>EUR million</x:v>
      </x:c>
      <x:c r="G42" s="15" t="str">
        <x:v>2026-07-30</x:v>
      </x:c>
      <x:c r="H42" s="15" t="str">
        <x:v>现金支出</x:v>
      </x:c>
    </x:row>
    <x:row r="43" ht="36" customHeight="1">
      <x:c r="A43" s="10" t="str">
        <x:v>P13</x:v>
      </x:c>
      <x:c r="B43" s="10" t="str">
        <x:v>施耐德</x:v>
      </x:c>
      <x:c r="C43" s="10" t="str">
        <x:v>2026H1</x:v>
      </x:c>
      <x:c r="D43" s="10" t="str">
        <x:v>其他营运资本占用</x:v>
      </x:c>
      <x:c r="E43" s="20" t="n">
        <x:v>247</x:v>
      </x:c>
      <x:c r="F43" s="10" t="str">
        <x:v>EUR million</x:v>
      </x:c>
      <x:c r="G43" s="10" t="str">
        <x:v>2026-07-30</x:v>
      </x:c>
      <x:c r="H43" s="10" t="str">
        <x:v>现金支出</x:v>
      </x:c>
    </x:row>
    <x:row r="44" ht="36" customHeight="1">
      <x:c r="A44" s="15" t="str">
        <x:v>P13</x:v>
      </x:c>
      <x:c r="B44" s="15" t="str">
        <x:v>施耐德</x:v>
      </x:c>
      <x:c r="C44" s="15" t="str">
        <x:v>2026-06-30</x:v>
      </x:c>
      <x:c r="D44" s="15" t="str">
        <x:v>净债务</x:v>
      </x:c>
      <x:c r="E44" s="21" t="n">
        <x:v>15360</x:v>
      </x:c>
      <x:c r="F44" s="15" t="str">
        <x:v>EUR million</x:v>
      </x:c>
      <x:c r="G44" s="15" t="str">
        <x:v>2026-07-30</x:v>
      </x:c>
      <x:c r="H44" s="15" t="str">
        <x:v>公司定义；另有待交割收购</x:v>
      </x:c>
    </x:row>
    <x:row r="45" ht="36" customHeight="1">
      <x:c r="A45" s="10" t="str">
        <x:v>P04</x:v>
      </x:c>
      <x:c r="B45" s="10" t="str">
        <x:v>西门子能源</x:v>
      </x:c>
      <x:c r="C45" s="10" t="str">
        <x:v>FY26 前三季</x:v>
      </x:c>
      <x:c r="D45" s="10" t="str">
        <x:v>CFO</x:v>
      </x:c>
      <x:c r="E45" s="20" t="n">
        <x:v>7759</x:v>
      </x:c>
      <x:c r="F45" s="10" t="str">
        <x:v>EUR million</x:v>
      </x:c>
      <x:c r="G45" s="10" t="str">
        <x:v>2026-08-05</x:v>
      </x:c>
      <x:c r="H45" s="10" t="str">
        <x:v>实绩</x:v>
      </x:c>
    </x:row>
    <x:row r="46" ht="36" customHeight="1">
      <x:c r="A46" s="15" t="str">
        <x:v>P04</x:v>
      </x:c>
      <x:c r="B46" s="15" t="str">
        <x:v>西门子能源</x:v>
      </x:c>
      <x:c r="C46" s="15" t="str">
        <x:v>FY26 前三季</x:v>
      </x:c>
      <x:c r="D46" s="15" t="str">
        <x:v>资本开支</x:v>
      </x:c>
      <x:c r="E46" s="21" t="n">
        <x:v>1125</x:v>
      </x:c>
      <x:c r="F46" s="15" t="str">
        <x:v>EUR million</x:v>
      </x:c>
      <x:c r="G46" s="15" t="str">
        <x:v>2026-08-05</x:v>
      </x:c>
      <x:c r="H46" s="15" t="str">
        <x:v>有形加无形资产</x:v>
      </x:c>
    </x:row>
    <x:row r="47" ht="36" customHeight="1">
      <x:c r="A47" s="10" t="str">
        <x:v>P04</x:v>
      </x:c>
      <x:c r="B47" s="10" t="str">
        <x:v>西门子能源</x:v>
      </x:c>
      <x:c r="C47" s="10" t="str">
        <x:v>FY26 前三季</x:v>
      </x:c>
      <x:c r="D47" s="10" t="str">
        <x:v>合同负债现金流入</x:v>
      </x:c>
      <x:c r="E47" s="20" t="n">
        <x:v>5359</x:v>
      </x:c>
      <x:c r="F47" s="10" t="str">
        <x:v>EUR million</x:v>
      </x:c>
      <x:c r="G47" s="10" t="str">
        <x:v>2026-08-05</x:v>
      </x:c>
      <x:c r="H47" s="10" t="str">
        <x:v>预付款等支持现金流</x:v>
      </x:c>
    </x:row>
    <x:row r="48" ht="36" customHeight="1">
      <x:c r="A48" s="15" t="str">
        <x:v>SEMI10</x:v>
      </x:c>
      <x:c r="B48" s="15" t="str">
        <x:v>NVIDIA</x:v>
      </x:c>
      <x:c r="C48" s="15" t="str">
        <x:v>Q2 FY27</x:v>
      </x:c>
      <x:c r="D48" s="15" t="str">
        <x:v>收入</x:v>
      </x:c>
      <x:c r="E48" s="21" t="n">
        <x:v>96221</x:v>
      </x:c>
      <x:c r="F48" s="15" t="str">
        <x:v>USD million</x:v>
      </x:c>
      <x:c r="G48" s="15" t="str">
        <x:v>2026-08-26</x:v>
      </x:c>
      <x:c r="H48" s="15" t="str">
        <x:v>2026-07-26 截止</x:v>
      </x:c>
    </x:row>
    <x:row r="49" ht="36" customHeight="1">
      <x:c r="A49" s="10" t="str">
        <x:v>SEMI10</x:v>
      </x:c>
      <x:c r="B49" s="10" t="str">
        <x:v>NVIDIA</x:v>
      </x:c>
      <x:c r="C49" s="10" t="str">
        <x:v>Q2 FY27</x:v>
      </x:c>
      <x:c r="D49" s="10" t="str">
        <x:v>GAAP 营业利润</x:v>
      </x:c>
      <x:c r="E49" s="20" t="n">
        <x:v>63734</x:v>
      </x:c>
      <x:c r="F49" s="10" t="str">
        <x:v>USD million</x:v>
      </x:c>
      <x:c r="G49" s="10" t="str">
        <x:v>2026-08-26</x:v>
      </x:c>
      <x:c r="H49" s="10" t="str">
        <x:v>保留股权薪酬与研发费用</x:v>
      </x:c>
    </x:row>
    <x:row r="50" ht="36" customHeight="1">
      <x:c r="A50" s="15" t="str">
        <x:v>SEMI10</x:v>
      </x:c>
      <x:c r="B50" s="15" t="str">
        <x:v>NVIDIA</x:v>
      </x:c>
      <x:c r="C50" s="15" t="str">
        <x:v>Q2 FY27</x:v>
      </x:c>
      <x:c r="D50" s="15" t="str">
        <x:v>CFO</x:v>
      </x:c>
      <x:c r="E50" s="21" t="n">
        <x:v>24077</x:v>
      </x:c>
      <x:c r="F50" s="15" t="str">
        <x:v>USD million</x:v>
      </x:c>
      <x:c r="G50" s="15" t="str">
        <x:v>2026-08-26</x:v>
      </x:c>
      <x:c r="H50" s="15" t="str">
        <x:v>应收增加占用现金 22346</x:v>
      </x:c>
    </x:row>
    <x:row r="51" ht="36" customHeight="1">
      <x:c r="A51" s="10" t="str">
        <x:v>SEMI10</x:v>
      </x:c>
      <x:c r="B51" s="10" t="str">
        <x:v>NVIDIA</x:v>
      </x:c>
      <x:c r="C51" s="10" t="str">
        <x:v>Q2 FY27</x:v>
      </x:c>
      <x:c r="D51" s="10" t="str">
        <x:v>公司 FCF</x:v>
      </x:c>
      <x:c r="E51" s="20" t="n">
        <x:v>21341</x:v>
      </x:c>
      <x:c r="F51" s="10" t="str">
        <x:v>USD million</x:v>
      </x:c>
      <x:c r="G51" s="10" t="str">
        <x:v>2026-08-26</x:v>
      </x:c>
      <x:c r="H51" s="10" t="str">
        <x:v>含有形 / 无形资本开支和 PP&amp;E 本金支出</x:v>
      </x:c>
    </x:row>
    <x:row r="52" ht="36" customHeight="1">
      <x:c r="A52" s="15" t="str">
        <x:v>SEMI10</x:v>
      </x:c>
      <x:c r="B52" s="15" t="str">
        <x:v>NVIDIA</x:v>
      </x:c>
      <x:c r="C52" s="15" t="str">
        <x:v>Q2 FY27</x:v>
      </x:c>
      <x:c r="D52" s="15" t="str">
        <x:v>稀释加权股数</x:v>
      </x:c>
      <x:c r="E52" s="21" t="n">
        <x:v>24285</x:v>
      </x:c>
      <x:c r="F52" s="15" t="str">
        <x:v>million shares</x:v>
      </x:c>
      <x:c r="G52" s="15" t="str">
        <x:v>2026-08-26</x:v>
      </x:c>
      <x:c r="H52" s="15" t="str">
        <x:v>历史股数，不等于模型退出期假设</x:v>
      </x:c>
    </x:row>
    <x:row r="53" ht="36" customHeight="1">
      <x:c r="A53" s="10" t="str">
        <x:v>SEMI12</x:v>
      </x:c>
      <x:c r="B53" s="10" t="str">
        <x:v>Broadcom</x:v>
      </x:c>
      <x:c r="C53" s="10" t="str">
        <x:v>Q3 FY26</x:v>
      </x:c>
      <x:c r="D53" s="10" t="str">
        <x:v>收入</x:v>
      </x:c>
      <x:c r="E53" s="20" t="n">
        <x:v>29591</x:v>
      </x:c>
      <x:c r="F53" s="10" t="str">
        <x:v>USD million</x:v>
      </x:c>
      <x:c r="G53" s="10" t="str">
        <x:v>2026-09-02</x:v>
      </x:c>
      <x:c r="H53" s="10" t="str">
        <x:v>2026-08-02 截止</x:v>
      </x:c>
    </x:row>
    <x:row r="54" ht="36" customHeight="1">
      <x:c r="A54" s="15" t="str">
        <x:v>SEMI12</x:v>
      </x:c>
      <x:c r="B54" s="15" t="str">
        <x:v>Broadcom</x:v>
      </x:c>
      <x:c r="C54" s="15" t="str">
        <x:v>Q3 FY26</x:v>
      </x:c>
      <x:c r="D54" s="15" t="str">
        <x:v>GAAP 营业利润</x:v>
      </x:c>
      <x:c r="E54" s="21" t="n">
        <x:v>15955</x:v>
      </x:c>
      <x:c r="F54" s="15" t="str">
        <x:v>USD million</x:v>
      </x:c>
      <x:c r="G54" s="15" t="str">
        <x:v>2026-09-02</x:v>
      </x:c>
      <x:c r="H54" s="15" t="str">
        <x:v>GAAP 实绩</x:v>
      </x:c>
    </x:row>
    <x:row r="55" ht="36" customHeight="1">
      <x:c r="A55" s="10" t="str">
        <x:v>SEMI12</x:v>
      </x:c>
      <x:c r="B55" s="10" t="str">
        <x:v>Broadcom</x:v>
      </x:c>
      <x:c r="C55" s="10" t="str">
        <x:v>Q3 FY26</x:v>
      </x:c>
      <x:c r="D55" s="10" t="str">
        <x:v>公司 FCF</x:v>
      </x:c>
      <x:c r="E55" s="20" t="n">
        <x:v>13665</x:v>
      </x:c>
      <x:c r="F55" s="10" t="str">
        <x:v>USD million</x:v>
      </x:c>
      <x:c r="G55" s="10" t="str">
        <x:v>2026-09-02</x:v>
      </x:c>
      <x:c r="H55" s="10" t="str">
        <x:v>CFO 14197 减 CapEx 532</x:v>
      </x:c>
    </x:row>
    <x:row r="56" ht="36" customHeight="1">
      <x:c r="A56" s="15" t="str">
        <x:v>SEMI12</x:v>
      </x:c>
      <x:c r="B56" s="15" t="str">
        <x:v>Broadcom</x:v>
      </x:c>
      <x:c r="C56" s="15" t="str">
        <x:v>Q3 FY26</x:v>
      </x:c>
      <x:c r="D56" s="15" t="str">
        <x:v>股权薪酬</x:v>
      </x:c>
      <x:c r="E56" s="21" t="n">
        <x:v>2019</x:v>
      </x:c>
      <x:c r="F56" s="15" t="str">
        <x:v>USD million</x:v>
      </x:c>
      <x:c r="G56" s="15" t="str">
        <x:v>2026-09-02</x:v>
      </x:c>
      <x:c r="H56" s="15" t="str">
        <x:v>不作为持续利润的加回项</x:v>
      </x:c>
    </x:row>
    <x:row r="57" ht="36" customHeight="1">
      <x:c r="A57" s="10" t="str">
        <x:v>F02</x:v>
      </x:c>
      <x:c r="B57" s="10" t="str">
        <x:v>Micron</x:v>
      </x:c>
      <x:c r="C57" s="10" t="str">
        <x:v>FY26 前三季</x:v>
      </x:c>
      <x:c r="D57" s="10" t="str">
        <x:v>收入</x:v>
      </x:c>
      <x:c r="E57" s="20" t="n">
        <x:v>78959</x:v>
      </x:c>
      <x:c r="F57" s="10" t="str">
        <x:v>USD million</x:v>
      </x:c>
      <x:c r="G57" s="10" t="str">
        <x:v>2026-06-25</x:v>
      </x:c>
      <x:c r="H57" s="10" t="str">
        <x:v>SEC 披露</x:v>
      </x:c>
    </x:row>
    <x:row r="58" ht="36" customHeight="1">
      <x:c r="A58" s="15" t="str">
        <x:v>SEMI03</x:v>
      </x:c>
      <x:c r="B58" s="15" t="str">
        <x:v>Micron</x:v>
      </x:c>
      <x:c r="C58" s="15" t="str">
        <x:v>FY26 Q4</x:v>
      </x:c>
      <x:c r="D58" s="15" t="str">
        <x:v>收入指引中点</x:v>
      </x:c>
      <x:c r="E58" s="21" t="n">
        <x:v>50000</x:v>
      </x:c>
      <x:c r="F58" s="15" t="str">
        <x:v>USD million</x:v>
      </x:c>
      <x:c r="G58" s="15" t="str">
        <x:v>2026-06-24</x:v>
      </x:c>
      <x:c r="H58" s="15" t="str">
        <x:v>公司指引 50000 ± 1000</x:v>
      </x:c>
    </x:row>
    <x:row r="59" ht="36" customHeight="1">
      <x:c r="A59" s="10" t="str">
        <x:v>SEMI12</x:v>
      </x:c>
      <x:c r="B59" s="10" t="str">
        <x:v>Broadcom</x:v>
      </x:c>
      <x:c r="C59" s="10" t="str">
        <x:v>FY26 前三季</x:v>
      </x:c>
      <x:c r="D59" s="10" t="str">
        <x:v>收入</x:v>
      </x:c>
      <x:c r="E59" s="20" t="n">
        <x:v>71089</x:v>
      </x:c>
      <x:c r="F59" s="10" t="str">
        <x:v>USD million</x:v>
      </x:c>
      <x:c r="G59" s="10" t="str">
        <x:v>2026-09-02</x:v>
      </x:c>
      <x:c r="H59" s="10" t="str">
        <x:v>九个月实绩</x:v>
      </x:c>
    </x:row>
    <x:row r="60" ht="36" customHeight="1">
      <x:c r="A60" s="15" t="str">
        <x:v>SEMI12</x:v>
      </x:c>
      <x:c r="B60" s="15" t="str">
        <x:v>Broadcom</x:v>
      </x:c>
      <x:c r="C60" s="15" t="str">
        <x:v>FY26 Q4</x:v>
      </x:c>
      <x:c r="D60" s="15" t="str">
        <x:v>收入指引</x:v>
      </x:c>
      <x:c r="E60" s="21" t="n">
        <x:v>34800</x:v>
      </x:c>
      <x:c r="F60" s="15" t="str">
        <x:v>USD million</x:v>
      </x:c>
      <x:c r="G60" s="15" t="str">
        <x:v>2026-09-02</x:v>
      </x:c>
      <x:c r="H60" s="15" t="str">
        <x:v>公司指引</x:v>
      </x:c>
    </x:row>
    <x:row r="61" ht="36" customHeight="1">
      <x:c r="A61" s="10" t="str">
        <x:v>P10</x:v>
      </x:c>
      <x:c r="B61" s="10" t="str">
        <x:v>Vertiv</x:v>
      </x:c>
      <x:c r="C61" s="10" t="str">
        <x:v>FY2026</x:v>
      </x:c>
      <x:c r="D61" s="10" t="str">
        <x:v>收入指引低端</x:v>
      </x:c>
      <x:c r="E61" s="20" t="n">
        <x:v>13800</x:v>
      </x:c>
      <x:c r="F61" s="10" t="str">
        <x:v>USD million</x:v>
      </x:c>
      <x:c r="G61" s="10" t="str">
        <x:v>2026-07-29</x:v>
      </x:c>
      <x:c r="H61" s="10" t="str">
        <x:v>公司指引</x:v>
      </x:c>
    </x:row>
    <x:row r="62" ht="36" customHeight="1">
      <x:c r="A62" s="15" t="str">
        <x:v>P10</x:v>
      </x:c>
      <x:c r="B62" s="15" t="str">
        <x:v>Vertiv</x:v>
      </x:c>
      <x:c r="C62" s="15" t="str">
        <x:v>FY2026</x:v>
      </x:c>
      <x:c r="D62" s="15" t="str">
        <x:v>收入指引高端</x:v>
      </x:c>
      <x:c r="E62" s="21" t="n">
        <x:v>14200</x:v>
      </x:c>
      <x:c r="F62" s="15" t="str">
        <x:v>USD million</x:v>
      </x:c>
      <x:c r="G62" s="15" t="str">
        <x:v>2026-07-29</x:v>
      </x:c>
      <x:c r="H62" s="15" t="str">
        <x:v>公司指引</x:v>
      </x:c>
    </x:row>
    <x:row r="63" ht="36" customHeight="1">
      <x:c r="A63" s="10" t="str">
        <x:v>P01</x:v>
      </x:c>
      <x:c r="B63" s="10" t="str">
        <x:v>GEV</x:v>
      </x:c>
      <x:c r="C63" s="10" t="str">
        <x:v>FY2026</x:v>
      </x:c>
      <x:c r="D63" s="10" t="str">
        <x:v>收入指引低端</x:v>
      </x:c>
      <x:c r="E63" s="20" t="n">
        <x:v>45500</x:v>
      </x:c>
      <x:c r="F63" s="10" t="str">
        <x:v>USD million</x:v>
      </x:c>
      <x:c r="G63" s="10" t="str">
        <x:v>2026-07-22</x:v>
      </x:c>
      <x:c r="H63" s="10" t="str">
        <x:v>公司指引</x:v>
      </x:c>
    </x:row>
    <x:row r="64" ht="36" customHeight="1">
      <x:c r="A64" s="15" t="str">
        <x:v>P01</x:v>
      </x:c>
      <x:c r="B64" s="15" t="str">
        <x:v>GEV</x:v>
      </x:c>
      <x:c r="C64" s="15" t="str">
        <x:v>FY2026</x:v>
      </x:c>
      <x:c r="D64" s="15" t="str">
        <x:v>收入指引高端</x:v>
      </x:c>
      <x:c r="E64" s="21" t="n">
        <x:v>46500</x:v>
      </x:c>
      <x:c r="F64" s="15" t="str">
        <x:v>USD million</x:v>
      </x:c>
      <x:c r="G64" s="15" t="str">
        <x:v>2026-07-22</x:v>
      </x:c>
      <x:c r="H64" s="15" t="str">
        <x:v>公司指引</x:v>
      </x:c>
    </x:row>
    <x:row r="65" ht="36" customHeight="1">
      <x:c r="A65" s="10" t="str">
        <x:v>P04</x:v>
      </x:c>
      <x:c r="B65" s="10" t="str">
        <x:v>西门子能源</x:v>
      </x:c>
      <x:c r="C65" s="10" t="str">
        <x:v>FY26 Q3</x:v>
      </x:c>
      <x:c r="D65" s="10" t="str">
        <x:v>少数股东净利润</x:v>
      </x:c>
      <x:c r="E65" s="20" t="n">
        <x:v>105</x:v>
      </x:c>
      <x:c r="F65" s="10" t="str">
        <x:v>EUR million</x:v>
      </x:c>
      <x:c r="G65" s="10" t="str">
        <x:v>2026-08-05</x:v>
      </x:c>
      <x:c r="H65" s="10" t="str">
        <x:v>约占集团净利 8.8%；模型归属扣减 8%</x:v>
      </x:c>
    </x:row>
    <x:row r="66" ht="36" customHeight="1">
      <x:c r="A66" s="15" t="str">
        <x:v>P13</x:v>
      </x:c>
      <x:c r="B66" s="15" t="str">
        <x:v>施耐德</x:v>
      </x:c>
      <x:c r="C66" s="15" t="str">
        <x:v>H1 2026</x:v>
      </x:c>
      <x:c r="D66" s="15" t="str">
        <x:v>归属与联营净影响约</x:v>
      </x:c>
      <x:c r="E66" s="21" t="n">
        <x:v>40</x:v>
      </x:c>
      <x:c r="F66" s="15" t="str">
        <x:v>EUR million</x:v>
      </x:c>
      <x:c r="G66" s="15" t="str">
        <x:v>2026-07-30</x:v>
      </x:c>
      <x:c r="H66" s="15" t="str">
        <x:v>集团税后利润与归母差额；模型扣减 2%</x:v>
      </x:c>
    </x:row>
    <x:row r="67" ht="48" customHeight="1">
      <x:c r="A67" s="10" t="str">
        <x:v>MP01</x:v>
      </x:c>
      <x:c r="B67" s="10" t="str">
        <x:v>Constellation</x:v>
      </x:c>
      <x:c r="C67" s="10" t="str">
        <x:v>2026Q2</x:v>
      </x:c>
      <x:c r="D67" s="10" t="str">
        <x:v>GAAP EPS</x:v>
      </x:c>
      <x:c r="E67" s="20" t="n">
        <x:v>1.42</x:v>
      </x:c>
      <x:c r="F67" s="10" t="str">
        <x:v>USD/股</x:v>
      </x:c>
      <x:c r="G67" s="10" t="str">
        <x:v>2026-08-06</x:v>
      </x:c>
      <x:c r="H67" s="10" t="str">
        <x:v>季报实际。
非全年</x:v>
      </x:c>
    </x:row>
    <x:row r="68" ht="48" customHeight="1">
      <x:c r="A68" s="15" t="str">
        <x:v>MP01</x:v>
      </x:c>
      <x:c r="B68" s="15" t="str">
        <x:v>Constellation</x:v>
      </x:c>
      <x:c r="C68" s="15" t="str">
        <x:v>2026Q2</x:v>
      </x:c>
      <x:c r="D68" s="15" t="str">
        <x:v>调整营业EPS</x:v>
      </x:c>
      <x:c r="E68" s="21" t="n">
        <x:v>2.55</x:v>
      </x:c>
      <x:c r="F68" s="15" t="str">
        <x:v>USD/股</x:v>
      </x:c>
      <x:c r="G68" s="15" t="str">
        <x:v>2026-08-06</x:v>
      </x:c>
      <x:c r="H68" s="15" t="str">
        <x:v>非GAAP。
与GAAP口径对账</x:v>
      </x:c>
    </x:row>
    <x:row r="69" ht="48" customHeight="1">
      <x:c r="A69" s="10" t="str">
        <x:v>MP01</x:v>
      </x:c>
      <x:c r="B69" s="10" t="str">
        <x:v>Constellation</x:v>
      </x:c>
      <x:c r="C69" s="10" t="str">
        <x:v>2026全年</x:v>
      </x:c>
      <x:c r="D69" s="10" t="str">
        <x:v>调整营业EPS指引低端</x:v>
      </x:c>
      <x:c r="E69" s="20" t="n">
        <x:v>11.5</x:v>
      </x:c>
      <x:c r="F69" s="10" t="str">
        <x:v>USD/股</x:v>
      </x:c>
      <x:c r="G69" s="10" t="str">
        <x:v>2026-08-06</x:v>
      </x:c>
      <x:c r="H69" s="10" t="str">
        <x:v>公司指引。
未实现</x:v>
      </x:c>
    </x:row>
    <x:row r="70" ht="48" customHeight="1">
      <x:c r="A70" s="15" t="str">
        <x:v>MP01</x:v>
      </x:c>
      <x:c r="B70" s="15" t="str">
        <x:v>Constellation</x:v>
      </x:c>
      <x:c r="C70" s="15" t="str">
        <x:v>2026全年</x:v>
      </x:c>
      <x:c r="D70" s="15" t="str">
        <x:v>调整营业EPS指引高端</x:v>
      </x:c>
      <x:c r="E70" s="21" t="n">
        <x:v>12.5</x:v>
      </x:c>
      <x:c r="F70" s="15" t="str">
        <x:v>USD/股</x:v>
      </x:c>
      <x:c r="G70" s="15" t="str">
        <x:v>2026-08-06</x:v>
      </x:c>
      <x:c r="H70" s="15" t="str">
        <x:v>公司指引。
未实现</x:v>
      </x:c>
    </x:row>
    <x:row r="71" ht="48" customHeight="1">
      <x:c r="A71" s="10" t="str">
        <x:v>MP01</x:v>
      </x:c>
      <x:c r="B71" s="10" t="str">
        <x:v>Constellation</x:v>
      </x:c>
      <x:c r="C71" s="10" t="str">
        <x:v>2026Q2</x:v>
      </x:c>
      <x:c r="D71" s="10" t="str">
        <x:v>加权稀释股数</x:v>
      </x:c>
      <x:c r="E71" s="20" t="n">
        <x:v>360</x:v>
      </x:c>
      <x:c r="F71" s="10" t="str">
        <x:v>百万股</x:v>
      </x:c>
      <x:c r="G71" s="10" t="str">
        <x:v>2026-08-06</x:v>
      </x:c>
      <x:c r="H71" s="10" t="str">
        <x:v>Calpine收购后股数变化。
不可套用上年314百万</x:v>
      </x:c>
    </x:row>
    <x:row r="72" ht="48" customHeight="1">
      <x:c r="A72" s="15" t="str">
        <x:v>MP01</x:v>
      </x:c>
      <x:c r="B72" s="15" t="str">
        <x:v>Constellation</x:v>
      </x:c>
      <x:c r="C72" s="15" t="str">
        <x:v>Crane</x:v>
      </x:c>
      <x:c r="D72" s="15" t="str">
        <x:v>重启目标</x:v>
      </x:c>
      <x:c r="E72" s="22" t="n">
        <x:v>2027</x:v>
      </x:c>
      <x:c r="F72" s="15" t="str">
        <x:v>年</x:v>
      </x:c>
      <x:c r="G72" s="15" t="str">
        <x:v>2026-08-06</x:v>
      </x:c>
      <x:c r="H72" s="15" t="str">
        <x:v>仍需完成重启。
FERC容量接入权豁免和NRC燃料许可已获批</x:v>
      </x:c>
    </x:row>
    <x:row r="73" ht="48" customHeight="1">
      <x:c r="A73" s="10" t="str">
        <x:v>MP03</x:v>
      </x:c>
      <x:c r="B73" s="10" t="str">
        <x:v>Constellation</x:v>
      </x:c>
      <x:c r="C73" s="10" t="str">
        <x:v>Crane/Microsoft PPA</x:v>
      </x:c>
      <x:c r="D73" s="10" t="str">
        <x:v>合同期限</x:v>
      </x:c>
      <x:c r="E73" s="23" t="n">
        <x:v>20</x:v>
      </x:c>
      <x:c r="F73" s="10" t="str">
        <x:v>年</x:v>
      </x:c>
      <x:c r="G73" s="10" t="str">
        <x:v>2024-09-20</x:v>
      </x:c>
      <x:c r="H73" s="10" t="str">
        <x:v>PPA为事实。
当年投运目标已由2028更新为2027</x:v>
      </x:c>
    </x:row>
    <x:row r="74" ht="48" customHeight="1">
      <x:c r="A74" s="15" t="str">
        <x:v>MP03</x:v>
      </x:c>
      <x:c r="B74" s="15" t="str">
        <x:v>Constellation</x:v>
      </x:c>
      <x:c r="C74" s="15" t="str">
        <x:v>Crane/Microsoft PPA</x:v>
      </x:c>
      <x:c r="D74" s="15" t="str">
        <x:v>预计恢复核电容量</x:v>
      </x:c>
      <x:c r="E74" s="21" t="n">
        <x:v>835</x:v>
      </x:c>
      <x:c r="F74" s="15" t="str">
        <x:v>MW</x:v>
      </x:c>
      <x:c r="G74" s="15" t="str">
        <x:v>2024-09-20</x:v>
      </x:c>
      <x:c r="H74" s="15" t="str">
        <x:v>约数。
未实际重启</x:v>
      </x:c>
    </x:row>
    <x:row r="75" ht="48" customHeight="1">
      <x:c r="A75" s="10" t="str">
        <x:v>MP02</x:v>
      </x:c>
      <x:c r="B75" s="10" t="str">
        <x:v>Constellation</x:v>
      </x:c>
      <x:c r="C75" s="10" t="str">
        <x:v>Meta/Clinton PPA</x:v>
      </x:c>
      <x:c r="D75" s="10" t="str">
        <x:v>覆盖核电容量</x:v>
      </x:c>
      <x:c r="E75" s="20" t="n">
        <x:v>1121</x:v>
      </x:c>
      <x:c r="F75" s="10" t="str">
        <x:v>MW</x:v>
      </x:c>
      <x:c r="G75" s="10" t="str">
        <x:v>2025-06-03</x:v>
      </x:c>
      <x:c r="H75" s="10" t="str">
        <x:v>其中新增增容仅30MW。
其余为存量延续，清洁属性购买替代ZEC支持</x:v>
      </x:c>
    </x:row>
    <x:row r="76" ht="48" customHeight="1">
      <x:c r="A76" s="15" t="str">
        <x:v>MP02</x:v>
      </x:c>
      <x:c r="B76" s="15" t="str">
        <x:v>Constellation</x:v>
      </x:c>
      <x:c r="C76" s="15" t="str">
        <x:v>Meta/Clinton PPA</x:v>
      </x:c>
      <x:c r="D76" s="15" t="str">
        <x:v>供电合同开始</x:v>
      </x:c>
      <x:c r="E76" s="21" t="str">
        <x:v>2027-06</x:v>
      </x:c>
      <x:c r="F76" s="15" t="str">
        <x:v>年月</x:v>
      </x:c>
      <x:c r="G76" s="15" t="str">
        <x:v>2025-06-03</x:v>
      </x:c>
      <x:c r="H76" s="15" t="str">
        <x:v>期限20年。
价格及股东收益未披露</x:v>
      </x:c>
    </x:row>
    <x:row r="77" ht="48" customHeight="1">
      <x:c r="A77" s="10" t="str">
        <x:v>MP01</x:v>
      </x:c>
      <x:c r="B77" s="10" t="str">
        <x:v>Constellation</x:v>
      </x:c>
      <x:c r="C77" s="10" t="str">
        <x:v>2026Q2新签PPA</x:v>
      </x:c>
      <x:c r="D77" s="10" t="str">
        <x:v>容量</x:v>
      </x:c>
      <x:c r="E77" s="20" t="n">
        <x:v>920</x:v>
      </x:c>
      <x:c r="F77" s="10" t="str">
        <x:v>MW</x:v>
      </x:c>
      <x:c r="G77" s="10" t="str">
        <x:v>2026-08-06</x:v>
      </x:c>
      <x:c r="H77" s="10" t="str">
        <x:v>15–20年合同。
开始时间2029–2032，超过本次主要窗口</x:v>
      </x:c>
    </x:row>
    <x:row r="78" ht="48" customHeight="1">
      <x:c r="A78" s="15" t="str">
        <x:v>MP04</x:v>
      </x:c>
      <x:c r="B78" s="15" t="str">
        <x:v>Talen</x:v>
      </x:c>
      <x:c r="C78" s="15" t="str">
        <x:v>2026全年</x:v>
      </x:c>
      <x:c r="D78" s="15" t="str">
        <x:v>调整EBITDA指引低端</x:v>
      </x:c>
      <x:c r="E78" s="21" t="n">
        <x:v>2025</x:v>
      </x:c>
      <x:c r="F78" s="15" t="str">
        <x:v>USD百万</x:v>
      </x:c>
      <x:c r="G78" s="15" t="str">
        <x:v>2026-08-05</x:v>
      </x:c>
      <x:c r="H78" s="15" t="str">
        <x:v>非GAAP。
含Cornerstone部分年度</x:v>
      </x:c>
    </x:row>
    <x:row r="79" ht="48" customHeight="1">
      <x:c r="A79" s="10" t="str">
        <x:v>MP04</x:v>
      </x:c>
      <x:c r="B79" s="10" t="str">
        <x:v>Talen</x:v>
      </x:c>
      <x:c r="C79" s="10" t="str">
        <x:v>2026全年</x:v>
      </x:c>
      <x:c r="D79" s="10" t="str">
        <x:v>调整EBITDA指引高端</x:v>
      </x:c>
      <x:c r="E79" s="20" t="n">
        <x:v>2225</x:v>
      </x:c>
      <x:c r="F79" s="10" t="str">
        <x:v>USD百万</x:v>
      </x:c>
      <x:c r="G79" s="10" t="str">
        <x:v>2026-08-05</x:v>
      </x:c>
      <x:c r="H79" s="10" t="str">
        <x:v>非GAAP。
含Cornerstone部分年度</x:v>
      </x:c>
    </x:row>
    <x:row r="80" ht="48" customHeight="1">
      <x:c r="A80" s="15" t="str">
        <x:v>MP04</x:v>
      </x:c>
      <x:c r="B80" s="15" t="str">
        <x:v>Talen</x:v>
      </x:c>
      <x:c r="C80" s="15" t="str">
        <x:v>2026全年</x:v>
      </x:c>
      <x:c r="D80" s="15" t="str">
        <x:v>调整FCF指引低端</x:v>
      </x:c>
      <x:c r="E80" s="21" t="n">
        <x:v>1200</x:v>
      </x:c>
      <x:c r="F80" s="15" t="str">
        <x:v>USD百万</x:v>
      </x:c>
      <x:c r="G80" s="15" t="str">
        <x:v>2026-08-05</x:v>
      </x:c>
      <x:c r="H80" s="15" t="str">
        <x:v>非GAAP。
需要转换成股东现金</x:v>
      </x:c>
    </x:row>
    <x:row r="81" ht="48" customHeight="1">
      <x:c r="A81" s="10" t="str">
        <x:v>MP04</x:v>
      </x:c>
      <x:c r="B81" s="10" t="str">
        <x:v>Talen</x:v>
      </x:c>
      <x:c r="C81" s="10" t="str">
        <x:v>2026全年</x:v>
      </x:c>
      <x:c r="D81" s="10" t="str">
        <x:v>调整FCF指引高端</x:v>
      </x:c>
      <x:c r="E81" s="20" t="n">
        <x:v>1350</x:v>
      </x:c>
      <x:c r="F81" s="10" t="str">
        <x:v>USD百万</x:v>
      </x:c>
      <x:c r="G81" s="10" t="str">
        <x:v>2026-08-05</x:v>
      </x:c>
      <x:c r="H81" s="10" t="str">
        <x:v>非GAAP。
需要转换成股东现金</x:v>
      </x:c>
    </x:row>
    <x:row r="82" ht="48" customHeight="1">
      <x:c r="A82" s="15" t="str">
        <x:v>MP04</x:v>
      </x:c>
      <x:c r="B82" s="15" t="str">
        <x:v>Talen</x:v>
      </x:c>
      <x:c r="C82" s="15" t="str">
        <x:v>2026Q2</x:v>
      </x:c>
      <x:c r="D82" s="15" t="str">
        <x:v>GAAP净亏损</x:v>
      </x:c>
      <x:c r="E82" s="21" t="n">
        <x:v>-92</x:v>
      </x:c>
      <x:c r="F82" s="15" t="str">
        <x:v>USD百万</x:v>
      </x:c>
      <x:c r="G82" s="15" t="str">
        <x:v>2026-08-05</x:v>
      </x:c>
      <x:c r="H82" s="15" t="str">
        <x:v>包含商品衍生工具市值损失及融资费用</x:v>
      </x:c>
    </x:row>
    <x:row r="83" ht="48" customHeight="1">
      <x:c r="A83" s="10" t="str">
        <x:v>MP04</x:v>
      </x:c>
      <x:c r="B83" s="10" t="str">
        <x:v>Talen</x:v>
      </x:c>
      <x:c r="C83" s="10" t="str">
        <x:v>2026Q2</x:v>
      </x:c>
      <x:c r="D83" s="10" t="str">
        <x:v>调整FCF</x:v>
      </x:c>
      <x:c r="E83" s="20" t="n">
        <x:v>212</x:v>
      </x:c>
      <x:c r="F83" s="10" t="str">
        <x:v>USD百万</x:v>
      </x:c>
      <x:c r="G83" s="10" t="str">
        <x:v>2026-08-05</x:v>
      </x:c>
      <x:c r="H83" s="10" t="str">
        <x:v>非GAAP实际</x:v>
      </x:c>
    </x:row>
    <x:row r="84" ht="48" customHeight="1">
      <x:c r="A84" s="15" t="str">
        <x:v>MP04</x:v>
      </x:c>
      <x:c r="B84" s="15" t="str">
        <x:v>Talen</x:v>
      </x:c>
      <x:c r="C84" s="15" t="str">
        <x:v>2026H1</x:v>
      </x:c>
      <x:c r="D84" s="15" t="str">
        <x:v>调整FCF</x:v>
      </x:c>
      <x:c r="E84" s="21" t="n">
        <x:v>562</x:v>
      </x:c>
      <x:c r="F84" s="15" t="str">
        <x:v>USD百万</x:v>
      </x:c>
      <x:c r="G84" s="15" t="str">
        <x:v>2026-08-05</x:v>
      </x:c>
      <x:c r="H84" s="15" t="str">
        <x:v>非GAAP实际</x:v>
      </x:c>
    </x:row>
    <x:row r="85" ht="48" customHeight="1">
      <x:c r="A85" s="10" t="str">
        <x:v>MP07</x:v>
      </x:c>
      <x:c r="B85" s="10" t="str">
        <x:v>Talen</x:v>
      </x:c>
      <x:c r="C85" s="10" t="str">
        <x:v>2026H1</x:v>
      </x:c>
      <x:c r="D85" s="10" t="str">
        <x:v>GAAP经营现金流</x:v>
      </x:c>
      <x:c r="E85" s="20" t="n">
        <x:v>27</x:v>
      </x:c>
      <x:c r="F85" s="10" t="str">
        <x:v>USD百万</x:v>
      </x:c>
      <x:c r="G85" s="10" t="str">
        <x:v>2026-08-05</x:v>
      </x:c>
      <x:c r="H85" s="10" t="str">
        <x:v>含495百万激励现金结算</x:v>
      </x:c>
    </x:row>
    <x:row r="86" ht="48" customHeight="1">
      <x:c r="A86" s="15" t="str">
        <x:v>MP07</x:v>
      </x:c>
      <x:c r="B86" s="15" t="str">
        <x:v>Talen</x:v>
      </x:c>
      <x:c r="C86" s="15" t="str">
        <x:v>2026H1</x:v>
      </x:c>
      <x:c r="D86" s="15" t="str">
        <x:v>PP&amp;E现金支出</x:v>
      </x:c>
      <x:c r="E86" s="21" t="n">
        <x:v>181</x:v>
      </x:c>
      <x:c r="F86" s="15" t="str">
        <x:v>USD百万</x:v>
      </x:c>
      <x:c r="G86" s="15" t="str">
        <x:v>2026-08-05</x:v>
      </x:c>
      <x:c r="H86" s="15" t="str">
        <x:v>实际投资现金流</x:v>
      </x:c>
    </x:row>
    <x:row r="87" ht="48" customHeight="1">
      <x:c r="A87" s="10" t="str">
        <x:v>MP07</x:v>
      </x:c>
      <x:c r="B87" s="10" t="str">
        <x:v>Talen</x:v>
      </x:c>
      <x:c r="C87" s="10" t="str">
        <x:v>2026H1</x:v>
      </x:c>
      <x:c r="D87" s="10" t="str">
        <x:v>核燃料现金支出</x:v>
      </x:c>
      <x:c r="E87" s="20" t="n">
        <x:v>66</x:v>
      </x:c>
      <x:c r="F87" s="10" t="str">
        <x:v>USD百万</x:v>
      </x:c>
      <x:c r="G87" s="10" t="str">
        <x:v>2026-08-05</x:v>
      </x:c>
      <x:c r="H87" s="10" t="str">
        <x:v>实际投资现金流</x:v>
      </x:c>
    </x:row>
    <x:row r="88" ht="48" customHeight="1">
      <x:c r="A88" s="15" t="str">
        <x:v>MP04</x:v>
      </x:c>
      <x:c r="B88" s="15" t="str">
        <x:v>Talen</x:v>
      </x:c>
      <x:c r="C88" s="15" t="str">
        <x:v>2026H1</x:v>
      </x:c>
      <x:c r="D88" s="15" t="str">
        <x:v>调整 FCF 的资本支出净额</x:v>
      </x:c>
      <x:c r="E88" s="21" t="n">
        <x:v>123</x:v>
      </x:c>
      <x:c r="F88" s="15" t="str">
        <x:v>USD百万</x:v>
      </x:c>
      <x:c r="G88" s="15" t="str">
        <x:v>2026-08-05</x:v>
      </x:c>
      <x:c r="H88" s="15" t="str">
        <x:v>与全部现金支出相差 124 百万美元。
差额未逐笔对账，不能全作持续增长支出。</x:v>
      </x:c>
    </x:row>
    <x:row r="89" ht="48" customHeight="1">
      <x:c r="A89" s="10" t="str">
        <x:v>MP07</x:v>
      </x:c>
      <x:c r="B89" s="10" t="str">
        <x:v>Talen</x:v>
      </x:c>
      <x:c r="C89" s="10" t="str">
        <x:v>2026H1</x:v>
      </x:c>
      <x:c r="D89" s="10" t="str">
        <x:v>负债类奖励现金结算</x:v>
      </x:c>
      <x:c r="E89" s="20" t="n">
        <x:v>495</x:v>
      </x:c>
      <x:c r="F89" s="10" t="str">
        <x:v>USD百万</x:v>
      </x:c>
      <x:c r="G89" s="10" t="str">
        <x:v>2026-08-05</x:v>
      </x:c>
      <x:c r="H89" s="10" t="str">
        <x:v>2026到期奖励集中支付，含代扣税。
不能作为持续年度成本</x:v>
      </x:c>
    </x:row>
    <x:row r="90" ht="48" customHeight="1">
      <x:c r="A90" s="15" t="str">
        <x:v>MP07</x:v>
      </x:c>
      <x:c r="B90" s="15" t="str">
        <x:v>Talen</x:v>
      </x:c>
      <x:c r="C90" s="15" t="str">
        <x:v>2026H1</x:v>
      </x:c>
      <x:c r="D90" s="15" t="str">
        <x:v>权益奖励代扣税支付</x:v>
      </x:c>
      <x:c r="E90" s="21" t="n">
        <x:v>140</x:v>
      </x:c>
      <x:c r="F90" s="15" t="str">
        <x:v>USD百万</x:v>
      </x:c>
      <x:c r="G90" s="15" t="str">
        <x:v>2026-08-05</x:v>
      </x:c>
      <x:c r="H90" s="15" t="str">
        <x:v>融资现金流。
同期净结算655350股</x:v>
      </x:c>
    </x:row>
    <x:row r="91" ht="48" customHeight="1">
      <x:c r="A91" s="10" t="str">
        <x:v>MP07</x:v>
      </x:c>
      <x:c r="B91" s="10" t="str">
        <x:v>Talen</x:v>
      </x:c>
      <x:c r="C91" s="10" t="str">
        <x:v>2026-06-30</x:v>
      </x:c>
      <x:c r="D91" s="10" t="str">
        <x:v>股权奖励负债余额</x:v>
      </x:c>
      <x:c r="E91" s="20" t="n">
        <x:v>6</x:v>
      </x:c>
      <x:c r="F91" s="10" t="str">
        <x:v>USD百万</x:v>
      </x:c>
      <x:c r="G91" s="10" t="str">
        <x:v>2026-08-05</x:v>
      </x:c>
      <x:c r="H91" s="10" t="str">
        <x:v>2025年末501百万。
不代表未来没有新增授予</x:v>
      </x:c>
    </x:row>
    <x:row r="92" ht="48" customHeight="1">
      <x:c r="A92" s="15" t="str">
        <x:v>MP04</x:v>
      </x:c>
      <x:c r="B92" s="15" t="str">
        <x:v>Talen</x:v>
      </x:c>
      <x:c r="C92" s="15" t="str">
        <x:v>2026H1</x:v>
      </x:c>
      <x:c r="D92" s="15" t="str">
        <x:v>EBITDA 的激励加回</x:v>
      </x:c>
      <x:c r="E92" s="21" t="n">
        <x:v>73</x:v>
      </x:c>
      <x:c r="F92" s="15" t="str">
        <x:v>USD百万</x:v>
      </x:c>
      <x:c r="G92" s="15" t="str">
        <x:v>2026-08-05</x:v>
      </x:c>
      <x:c r="H92" s="15" t="str">
        <x:v>持续股东成本应通过费用或稀释处理一次</x:v>
      </x:c>
    </x:row>
    <x:row r="93" ht="48" customHeight="1">
      <x:c r="A93" s="10" t="str">
        <x:v>MP07</x:v>
      </x:c>
      <x:c r="B93" s="10" t="str">
        <x:v>Talen</x:v>
      </x:c>
      <x:c r="C93" s="10" t="str">
        <x:v>2026-06-30</x:v>
      </x:c>
      <x:c r="D93" s="10" t="str">
        <x:v>未确认权益PSU费用</x:v>
      </x:c>
      <x:c r="E93" s="20" t="n">
        <x:v>274</x:v>
      </x:c>
      <x:c r="F93" s="10" t="str">
        <x:v>USD百万</x:v>
      </x:c>
      <x:c r="G93" s="10" t="str">
        <x:v>2026-08-05</x:v>
      </x:c>
      <x:c r="H93" s="10" t="str">
        <x:v>加权确认期限1.6年。
非2028年度指引</x:v>
      </x:c>
    </x:row>
    <x:row r="94" ht="48" customHeight="1">
      <x:c r="A94" s="15" t="str">
        <x:v>MP07</x:v>
      </x:c>
      <x:c r="B94" s="15" t="str">
        <x:v>Talen</x:v>
      </x:c>
      <x:c r="C94" s="15" t="str">
        <x:v>2026-06-30</x:v>
      </x:c>
      <x:c r="D94" s="15" t="str">
        <x:v>未确认权益RSU费用</x:v>
      </x:c>
      <x:c r="E94" s="21" t="n">
        <x:v>28</x:v>
      </x:c>
      <x:c r="F94" s="15" t="str">
        <x:v>USD百万</x:v>
      </x:c>
      <x:c r="G94" s="15" t="str">
        <x:v>2026-08-05</x:v>
      </x:c>
      <x:c r="H94" s="15" t="str">
        <x:v>加权确认期限1.5年。
非2028年度指引</x:v>
      </x:c>
    </x:row>
    <x:row r="95" ht="48" customHeight="1">
      <x:c r="A95" s="10" t="str">
        <x:v>MP07</x:v>
      </x:c>
      <x:c r="B95" s="10" t="str">
        <x:v>Talen</x:v>
      </x:c>
      <x:c r="C95" s="10" t="str">
        <x:v>2026H1</x:v>
      </x:c>
      <x:c r="D95" s="10" t="str">
        <x:v>已支付ARO义务</x:v>
      </x:c>
      <x:c r="E95" s="20" t="n">
        <x:v>16</x:v>
      </x:c>
      <x:c r="F95" s="10" t="str">
        <x:v>USD百万</x:v>
      </x:c>
      <x:c r="G95" s="10" t="str">
        <x:v>2026-08-05</x:v>
      </x:c>
      <x:c r="H95" s="10" t="str">
        <x:v>退役和环境现金支出</x:v>
      </x:c>
    </x:row>
    <x:row r="96" ht="48" customHeight="1">
      <x:c r="A96" s="15" t="str">
        <x:v>MP07</x:v>
      </x:c>
      <x:c r="B96" s="15" t="str">
        <x:v>Talen</x:v>
      </x:c>
      <x:c r="C96" s="15" t="str">
        <x:v>2026-06-30</x:v>
      </x:c>
      <x:c r="D96" s="15" t="str">
        <x:v>退役及环境流动负债</x:v>
      </x:c>
      <x:c r="E96" s="21" t="n">
        <x:v>53</x:v>
      </x:c>
      <x:c r="F96" s="15" t="str">
        <x:v>USD百万</x:v>
      </x:c>
      <x:c r="G96" s="15" t="str">
        <x:v>2026-08-05</x:v>
      </x:c>
      <x:c r="H96" s="15" t="str">
        <x:v>不等于每年固定支出</x:v>
      </x:c>
    </x:row>
    <x:row r="97" ht="48" customHeight="1">
      <x:c r="A97" s="10" t="str">
        <x:v>MP07</x:v>
      </x:c>
      <x:c r="B97" s="10" t="str">
        <x:v>Talen</x:v>
      </x:c>
      <x:c r="C97" s="10" t="str">
        <x:v>2026预测</x:v>
      </x:c>
      <x:c r="D97" s="10" t="str">
        <x:v>资本开支</x:v>
      </x:c>
      <x:c r="E97" s="20" t="n">
        <x:v>338</x:v>
      </x:c>
      <x:c r="F97" s="10" t="str">
        <x:v>USD百万</x:v>
      </x:c>
      <x:c r="G97" s="10" t="str">
        <x:v>2026-08-05</x:v>
      </x:c>
      <x:c r="H97" s="10" t="str">
        <x:v>含核燃料。
2028额外增长预算未在本次披露明确</x:v>
      </x:c>
    </x:row>
    <x:row r="98" ht="48" customHeight="1">
      <x:c r="A98" s="15" t="str">
        <x:v>MP07</x:v>
      </x:c>
      <x:c r="B98" s="15" t="str">
        <x:v>Talen</x:v>
      </x:c>
      <x:c r="C98" s="15" t="str">
        <x:v>2027预测</x:v>
      </x:c>
      <x:c r="D98" s="15" t="str">
        <x:v>资本开支</x:v>
      </x:c>
      <x:c r="E98" s="21" t="n">
        <x:v>358</x:v>
      </x:c>
      <x:c r="F98" s="15" t="str">
        <x:v>USD百万</x:v>
      </x:c>
      <x:c r="G98" s="15" t="str">
        <x:v>2026-08-05</x:v>
      </x:c>
      <x:c r="H98" s="15" t="str">
        <x:v>含核燃料。
2028额外增长预算未在本次披露明确</x:v>
      </x:c>
    </x:row>
    <x:row r="99" ht="48" customHeight="1">
      <x:c r="A99" s="10" t="str">
        <x:v>MP04</x:v>
      </x:c>
      <x:c r="B99" s="10" t="str">
        <x:v>Talen</x:v>
      </x:c>
      <x:c r="C99" s="10" t="str">
        <x:v>2026-06-30</x:v>
      </x:c>
      <x:c r="D99" s="10" t="str">
        <x:v>发行在外股数</x:v>
      </x:c>
      <x:c r="E99" s="20" t="n">
        <x:v>47.900355</x:v>
      </x:c>
      <x:c r="F99" s="10" t="str">
        <x:v>百万股</x:v>
      </x:c>
      <x:c r="G99" s="10" t="str">
        <x:v>2026-08-05</x:v>
      </x:c>
      <x:c r="H99" s="10" t="str">
        <x:v>用于行情市值近似。
不同于亏损期稀释加权45.904百万</x:v>
      </x:c>
    </x:row>
    <x:row r="100" ht="48" customHeight="1">
      <x:c r="A100" s="15" t="str">
        <x:v>MP05</x:v>
      </x:c>
      <x:c r="B100" s="15" t="str">
        <x:v>Talen</x:v>
      </x:c>
      <x:c r="C100" s="15" t="str">
        <x:v>2027/2028基础展望</x:v>
      </x:c>
      <x:c r="D100" s="15" t="str">
        <x:v>预测股数</x:v>
      </x:c>
      <x:c r="E100" s="21" t="n">
        <x:v>47.9</x:v>
      </x:c>
      <x:c r="F100" s="15" t="str">
        <x:v>百万股</x:v>
      </x:c>
      <x:c r="G100" s="15" t="str">
        <x:v>2026-08-05</x:v>
      </x:c>
      <x:c r="H100" s="15" t="str">
        <x:v>固定股数。
回购增益单独披露</x:v>
      </x:c>
    </x:row>
    <x:row r="101" ht="48" customHeight="1">
      <x:c r="A101" s="10" t="str">
        <x:v>MP05</x:v>
      </x:c>
      <x:c r="B101" s="10" t="str">
        <x:v>Talen</x:v>
      </x:c>
      <x:c r="C101" s="10" t="str">
        <x:v>2027基础展望</x:v>
      </x:c>
      <x:c r="D101" s="10" t="str">
        <x:v>调整FCF/股</x:v>
      </x:c>
      <x:c r="E101" s="20" t="n">
        <x:v>34</x:v>
      </x:c>
      <x:c r="F101" s="10" t="str">
        <x:v>USD/股</x:v>
      </x:c>
      <x:c r="G101" s="10" t="str">
        <x:v>2026-08-05</x:v>
      </x:c>
      <x:c r="H101" s="10" t="str">
        <x:v>约数。
另加3美元为回购情景</x:v>
      </x:c>
    </x:row>
    <x:row r="102" ht="48" customHeight="1">
      <x:c r="A102" s="15" t="str">
        <x:v>MP05</x:v>
      </x:c>
      <x:c r="B102" s="15" t="str">
        <x:v>Talen</x:v>
      </x:c>
      <x:c r="C102" s="15" t="str">
        <x:v>2028基础展望</x:v>
      </x:c>
      <x:c r="D102" s="15" t="str">
        <x:v>调整FCF/股</x:v>
      </x:c>
      <x:c r="E102" s="21" t="n">
        <x:v>40</x:v>
      </x:c>
      <x:c r="F102" s="15" t="str">
        <x:v>USD/股</x:v>
      </x:c>
      <x:c r="G102" s="15" t="str">
        <x:v>2026-08-05</x:v>
      </x:c>
      <x:c r="H102" s="15" t="str">
        <x:v>约数。
已含既有PPA最低爬坡，另加8美元为回购情景</x:v>
      </x:c>
    </x:row>
    <x:row r="103" ht="48" customHeight="1">
      <x:c r="A103" s="10" t="str">
        <x:v>MP05</x:v>
      </x:c>
      <x:c r="B103" s="10" t="str">
        <x:v>Talen</x:v>
      </x:c>
      <x:c r="C103" s="10" t="str">
        <x:v>2028基础展望</x:v>
      </x:c>
      <x:c r="D103" s="10" t="str">
        <x:v>最低 PPA 交付容量</x:v>
      </x:c>
      <x:c r="E103" s="20" t="n">
        <x:v>480</x:v>
      </x:c>
      <x:c r="F103" s="10" t="str">
        <x:v>MW</x:v>
      </x:c>
      <x:c r="G103" s="10" t="str">
        <x:v>2026-08-05</x:v>
      </x:c>
      <x:c r="H103" s="10" t="str">
        <x:v>PDF第12页/印刷11。
不得再加全量1920MW</x:v>
      </x:c>
    </x:row>
    <x:row r="104" ht="48" customHeight="1">
      <x:c r="A104" s="15" t="str">
        <x:v>MP05</x:v>
      </x:c>
      <x:c r="B104" s="15" t="str">
        <x:v>Talen</x:v>
      </x:c>
      <x:c r="C104" s="15" t="str">
        <x:v>2026-07-31</x:v>
      </x:c>
      <x:c r="D104" s="15" t="str">
        <x:v>净债</x:v>
      </x:c>
      <x:c r="E104" s="21" t="n">
        <x:v>9171</x:v>
      </x:c>
      <x:c r="F104" s="15" t="str">
        <x:v>USD百万</x:v>
      </x:c>
      <x:c r="G104" s="15" t="str">
        <x:v>2026-08-05</x:v>
      </x:c>
      <x:c r="H104" s="15" t="str">
        <x:v>权益FCF已负担利息，估值不再次整体扣净债</x:v>
      </x:c>
    </x:row>
    <x:row r="105" ht="48" customHeight="1">
      <x:c r="A105" s="10" t="str">
        <x:v>MP05</x:v>
      </x:c>
      <x:c r="B105" s="10" t="str">
        <x:v>Talen</x:v>
      </x:c>
      <x:c r="C105" s="10" t="str">
        <x:v>2026剩余期间</x:v>
      </x:c>
      <x:c r="D105" s="10" t="str">
        <x:v>预计发电量套保比例</x:v>
      </x:c>
      <x:c r="E105" s="12" t="n">
        <x:v>0.85</x:v>
      </x:c>
      <x:c r="F105" s="10" t="str">
        <x:v>ratio</x:v>
      </x:c>
      <x:c r="G105" s="10" t="str">
        <x:v>2026-08-05</x:v>
      </x:c>
      <x:c r="H105" s="10" t="str">
        <x:v>含核电生产税收抵免影响。
非长期PPA占比</x:v>
      </x:c>
    </x:row>
    <x:row r="106" ht="48" customHeight="1">
      <x:c r="A106" s="15" t="str">
        <x:v>MP05</x:v>
      </x:c>
      <x:c r="B106" s="15" t="str">
        <x:v>Talen</x:v>
      </x:c>
      <x:c r="C106" s="15" t="str">
        <x:v>2027</x:v>
      </x:c>
      <x:c r="D106" s="15" t="str">
        <x:v>预计发电量套保比例</x:v>
      </x:c>
      <x:c r="E106" s="17" t="n">
        <x:v>0.7</x:v>
      </x:c>
      <x:c r="F106" s="15" t="str">
        <x:v>ratio</x:v>
      </x:c>
      <x:c r="G106" s="15" t="str">
        <x:v>2026-08-05</x:v>
      </x:c>
      <x:c r="H106" s="15" t="str">
        <x:v>含核电生产税收抵免影响。
非长期PPA占比</x:v>
      </x:c>
    </x:row>
    <x:row r="107" ht="48" customHeight="1">
      <x:c r="A107" s="10" t="str">
        <x:v>MP05</x:v>
      </x:c>
      <x:c r="B107" s="10" t="str">
        <x:v>Talen</x:v>
      </x:c>
      <x:c r="C107" s="10" t="str">
        <x:v>2028</x:v>
      </x:c>
      <x:c r="D107" s="10" t="str">
        <x:v>预计发电量套保比例</x:v>
      </x:c>
      <x:c r="E107" s="12" t="n">
        <x:v>0.3</x:v>
      </x:c>
      <x:c r="F107" s="10" t="str">
        <x:v>ratio</x:v>
      </x:c>
      <x:c r="G107" s="10" t="str">
        <x:v>2026-08-05</x:v>
      </x:c>
      <x:c r="H107" s="10" t="str">
        <x:v>含核电生产税收抵免影响。
非长期PPA占比</x:v>
      </x:c>
    </x:row>
    <x:row r="108" ht="48" customHeight="1">
      <x:c r="A108" s="15" t="str">
        <x:v>MP05</x:v>
      </x:c>
      <x:c r="B108" s="15" t="str">
        <x:v>Talen</x:v>
      </x:c>
      <x:c r="C108" s="15" t="str">
        <x:v>2028敏感性</x:v>
      </x:c>
      <x:c r="D108" s="15" t="str">
        <x:v>电价下降 10 美元/MWh
对应的毛利影响</x:v>
      </x:c>
      <x:c r="E108" s="21" t="n">
        <x:v>-440</x:v>
      </x:c>
      <x:c r="F108" s="15" t="str">
        <x:v>USD百万</x:v>
      </x:c>
      <x:c r="G108" s="15" t="str">
        <x:v>2026-08-05</x:v>
      </x:c>
      <x:c r="H108" s="15" t="str">
        <x:v>公司敏感性，非税后FCF一比一影响</x:v>
      </x:c>
    </x:row>
    <x:row r="109" ht="48" customHeight="1">
      <x:c r="A109" s="10" t="str">
        <x:v>MP06</x:v>
      </x:c>
      <x:c r="B109" s="10" t="str">
        <x:v>Talen</x:v>
      </x:c>
      <x:c r="C109" s="10" t="str">
        <x:v>AWS PPA</x:v>
      </x:c>
      <x:c r="D109" s="10" t="str">
        <x:v>合同全量容量</x:v>
      </x:c>
      <x:c r="E109" s="20" t="n">
        <x:v>1920</x:v>
      </x:c>
      <x:c r="F109" s="10" t="str">
        <x:v>MW</x:v>
      </x:c>
      <x:c r="G109" s="10" t="str">
        <x:v>2025-06-11</x:v>
      </x:c>
      <x:c r="H109" s="10" t="str">
        <x:v>逐步爬坡，原公告最晚2032年达全量。
合同到2042年</x:v>
      </x:c>
    </x:row>
    <x:row r="110" ht="48" customHeight="1">
      <x:c r="A110" s="15" t="str">
        <x:v>MP07</x:v>
      </x:c>
      <x:c r="B110" s="15" t="str">
        <x:v>Talen</x:v>
      </x:c>
      <x:c r="C110" s="15" t="str">
        <x:v>AWS PPA</x:v>
      </x:c>
      <x:c r="D110" s="15" t="str">
        <x:v>电网供电模式转换完成</x:v>
      </x:c>
      <x:c r="E110" s="21" t="str">
        <x:v>2026-04</x:v>
      </x:c>
      <x:c r="F110" s="15" t="str">
        <x:v>年月</x:v>
      </x:c>
      <x:c r="G110" s="15" t="str">
        <x:v>2026-08-05</x:v>
      </x:c>
      <x:c r="H110" s="15" t="str">
        <x:v>合同已执行。
全量供电尚未完成</x:v>
      </x:c>
    </x:row>
    <x:row r="111" ht="48" customHeight="1">
      <x:c r="A111" s="10" t="str">
        <x:v>MP05</x:v>
      </x:c>
      <x:c r="B111" s="10" t="str">
        <x:v>Talen</x:v>
      </x:c>
      <x:c r="C111" s="10" t="str">
        <x:v>既有AWS合同</x:v>
      </x:c>
      <x:c r="D111" s="10" t="str">
        <x:v>完整经济价值目标</x:v>
      </x:c>
      <x:c r="E111" s="23" t="n">
        <x:v>2030</x:v>
      </x:c>
      <x:c r="F111" s="10" t="str">
        <x:v>年</x:v>
      </x:c>
      <x:c r="G111" s="10" t="str">
        <x:v>2026-08-05</x:v>
      </x:c>
      <x:c r="H111" s="10" t="str">
        <x:v>公司演示稿所述经济价值。
不同于原公告最晚2032年全量MW</x:v>
      </x:c>
    </x:row>
    <x:row r="112" ht="23" customHeight="1">
      <x:c r="A112" s="2"/>
      <x:c r="B112" s="2"/>
      <x:c r="C112" s="2"/>
      <x:c r="D112" s="2"/>
      <x:c r="E112" s="2"/>
      <x:c r="F112" s="2"/>
      <x:c r="G112" s="2"/>
      <x:c r="H112" s="2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</x:row>
    <x:row r="114" ht="38" customHeight="1">
      <x:c r="A114" s="8" t="str">
        <x:v>核对</x:v>
      </x:c>
      <x:c r="B114" s="8" t="str">
        <x:v>公司</x:v>
      </x:c>
      <x:c r="C114" s="8" t="str">
        <x:v>期间</x:v>
      </x:c>
      <x:c r="D114" s="8" t="str">
        <x:v>公式</x:v>
      </x:c>
      <x:c r="E114" s="8" t="str">
        <x:v>数值</x:v>
      </x:c>
      <x:c r="F114" s="8" t="str">
        <x:v>单位</x:v>
      </x:c>
      <x:c r="G114" s="8" t="str">
        <x:v>来源</x:v>
      </x:c>
      <x:c r="H114" s="8" t="str">
        <x:v>说明</x:v>
      </x:c>
    </x:row>
    <x:row r="115" ht="36" customHeight="1">
      <x:c r="A115" s="10" t="str">
        <x:v>FCF</x:v>
      </x:c>
      <x:c r="B115" s="10" t="str">
        <x:v>Alphabet</x:v>
      </x:c>
      <x:c r="C115" s="10" t="str">
        <x:v>2026Q2</x:v>
      </x:c>
      <x:c r="D115" s="10" t="str">
        <x:v>Q2 CFO－CapEx</x:v>
      </x:c>
      <x:c r="E115" s="20" t="n">
        <x:f>E9-E10</x:f>
        <x:v>-5855</x:v>
      </x:c>
      <x:c r="F115" s="10" t="str">
        <x:v>USD million</x:v>
      </x:c>
      <x:c r="G115" s="10" t="str">
        <x:v>M02</x:v>
      </x:c>
      <x:c r="H115" s="10" t="str">
        <x:v>−5,855；用电增长也受资金成本约束</x:v>
      </x:c>
    </x:row>
    <x:row r="116" ht="36" customHeight="1">
      <x:c r="A116" s="15" t="str">
        <x:v>FCF</x:v>
      </x:c>
      <x:c r="B116" s="15" t="str">
        <x:v>台积电</x:v>
      </x:c>
      <x:c r="C116" s="15" t="str">
        <x:v>2026H1</x:v>
      </x:c>
      <x:c r="D116" s="15" t="str">
        <x:v>CFO－PP&amp;E</x:v>
      </x:c>
      <x:c r="E116" s="21" t="n">
        <x:f>E13-E14</x:f>
        <x:v>635576.496</x:v>
      </x:c>
      <x:c r="F116" s="15" t="str">
        <x:v>TWD million</x:v>
      </x:c>
      <x:c r="G116" s="15" t="str">
        <x:v>SEMI09</x:v>
      </x:c>
      <x:c r="H116" s="15" t="str">
        <x:v>635,576.496；无形资产另计</x:v>
      </x:c>
    </x:row>
    <x:row r="117" ht="36" customHeight="1">
      <x:c r="A117" s="10" t="str">
        <x:v>FCF</x:v>
      </x:c>
      <x:c r="B117" s="10" t="str">
        <x:v>Micron</x:v>
      </x:c>
      <x:c r="C117" s="10" t="str">
        <x:v>FY26Q3</x:v>
      </x:c>
      <x:c r="D117" s="10" t="str">
        <x:v>CFO－Gross PP&amp;E</x:v>
      </x:c>
      <x:c r="E117" s="20" t="n">
        <x:f>E18-E19</x:f>
        <x:v>17562</x:v>
      </x:c>
      <x:c r="F117" s="10" t="str">
        <x:v>USD million</x:v>
      </x:c>
      <x:c r="G117" s="10" t="str">
        <x:v>SEMI03</x:v>
      </x:c>
      <x:c r="H117" s="10" t="str">
        <x:v>17,562；客户存款不是自由现金流</x:v>
      </x:c>
    </x:row>
    <x:row r="118" ht="36" customHeight="1">
      <x:c r="A118" s="15" t="str">
        <x:v>FCF</x:v>
      </x:c>
      <x:c r="B118" s="15" t="str">
        <x:v>SK 海力士</x:v>
      </x:c>
      <x:c r="C118" s="15" t="str">
        <x:v>2026H1</x:v>
      </x:c>
      <x:c r="D118" s="15" t="str">
        <x:v>CFO－PP&amp;E</x:v>
      </x:c>
      <x:c r="E118" s="21" t="n">
        <x:f>E25-E26</x:f>
        <x:v>73812000</x:v>
      </x:c>
      <x:c r="F118" s="15" t="str">
        <x:v>KRW million</x:v>
      </x:c>
      <x:c r="G118" s="15" t="str">
        <x:v>SEMI05</x:v>
      </x:c>
      <x:c r="H118" s="15" t="str">
        <x:v>73,812,000；投资收益完全剔除</x:v>
      </x:c>
    </x:row>
    <x:row r="119" ht="36" customHeight="1">
      <x:c r="A119" s="10" t="str">
        <x:v>FCF</x:v>
      </x:c>
      <x:c r="B119" s="10" t="str">
        <x:v>GEV</x:v>
      </x:c>
      <x:c r="C119" s="10" t="str">
        <x:v>2026H1</x:v>
      </x:c>
      <x:c r="D119" s="10" t="str">
        <x:v>CFO－资本开支</x:v>
      </x:c>
      <x:c r="E119" s="20" t="n">
        <x:f>E28-E29</x:f>
        <x:v>9897</x:v>
      </x:c>
      <x:c r="F119" s="10" t="str">
        <x:v>USD million</x:v>
      </x:c>
      <x:c r="G119" s="10" t="str">
        <x:v>P01</x:v>
      </x:c>
      <x:c r="H119" s="10" t="str">
        <x:v>9,897；不等于可永久分配现金</x:v>
      </x:c>
    </x:row>
    <x:row r="120" ht="36" customHeight="1">
      <x:c r="A120" s="15" t="str">
        <x:v>FCF</x:v>
      </x:c>
      <x:c r="B120" s="15" t="str">
        <x:v>Eaton</x:v>
      </x:c>
      <x:c r="C120" s="15" t="str">
        <x:v>2026H1</x:v>
      </x:c>
      <x:c r="D120" s="15" t="str">
        <x:v>CFO－资本开支</x:v>
      </x:c>
      <x:c r="E120" s="21" t="n">
        <x:f>E35-E36</x:f>
        <x:v>1188</x:v>
      </x:c>
      <x:c r="F120" s="15" t="str">
        <x:v>USD million</x:v>
      </x:c>
      <x:c r="G120" s="15" t="str">
        <x:v>P09</x:v>
      </x:c>
      <x:c r="H120" s="15" t="str">
        <x:v>1,188</x:v>
      </x:c>
    </x:row>
    <x:row r="121" ht="36" customHeight="1">
      <x:c r="A121" s="10" t="str">
        <x:v>FCF</x:v>
      </x:c>
      <x:c r="B121" s="10" t="str">
        <x:v>Vertiv</x:v>
      </x:c>
      <x:c r="C121" s="10" t="str">
        <x:v>2026H1</x:v>
      </x:c>
      <x:c r="D121" s="10" t="str">
        <x:v>CFO－PP&amp;E</x:v>
      </x:c>
      <x:c r="E121" s="20" t="n">
        <x:f>E37-E38</x:f>
        <x:v>1580.6999999999998</x:v>
      </x:c>
      <x:c r="F121" s="10" t="str">
        <x:v>USD million</x:v>
      </x:c>
      <x:c r="G121" s="10" t="str">
        <x:v>P11</x:v>
      </x:c>
      <x:c r="H121" s="10" t="str">
        <x:v>1,580.7；软件资本开支另扣</x:v>
      </x:c>
    </x:row>
    <x:row r="122" ht="36" customHeight="1">
      <x:c r="A122" s="15" t="str">
        <x:v>FCF</x:v>
      </x:c>
      <x:c r="B122" s="15" t="str">
        <x:v>西门子能源</x:v>
      </x:c>
      <x:c r="C122" s="15" t="str">
        <x:v>FY26 前三季</x:v>
      </x:c>
      <x:c r="D122" s="15" t="str">
        <x:v>CFO－资本开支</x:v>
      </x:c>
      <x:c r="E122" s="21" t="n">
        <x:f>E45-E46</x:f>
        <x:v>6634</x:v>
      </x:c>
      <x:c r="F122" s="15" t="str">
        <x:v>EUR million</x:v>
      </x:c>
      <x:c r="G122" s="15" t="str">
        <x:v>P04</x:v>
      </x:c>
      <x:c r="H122" s="15" t="str">
        <x:v>6,634；税后口径</x:v>
      </x:c>
    </x:row>
    <x:row r="123" ht="36" customHeight="1">
      <x:c r="A123" s="10" t="str">
        <x:v>FCF</x:v>
      </x:c>
      <x:c r="B123" s="10" t="str">
        <x:v>施耐德</x:v>
      </x:c>
      <x:c r="C123" s="10" t="str">
        <x:v>2026H1</x:v>
      </x:c>
      <x:c r="D123" s="10" t="str">
        <x:v>OCF－CapEx－营运资本</x:v>
      </x:c>
      <x:c r="E123" s="10" t="n">
        <x:f>E40-E41-E42-E43</x:f>
        <x:v>1631</x:v>
      </x:c>
      <x:c r="F123" s="10" t="str">
        <x:v>EUR million</x:v>
      </x:c>
      <x:c r="G123" s="10" t="str">
        <x:v>P13</x:v>
      </x:c>
      <x:c r="H123" s="10" t="str">
        <x:v>1,631；使用公司 OCF 定义</x:v>
      </x:c>
    </x:row>
    <x:row r="124" ht="23" customHeight="1">
      <x:c r="A124" s="2"/>
      <x:c r="B124" s="2"/>
      <x:c r="C124" s="2"/>
      <x:c r="D124" s="2"/>
      <x:c r="E124" s="2"/>
      <x:c r="F124" s="2"/>
      <x:c r="G124" s="2"/>
      <x:c r="H124" s="2"/>
    </x:row>
    <x:row r="125" ht="23" customHeight="1">
      <x:c r="A125" s="2"/>
      <x:c r="B125" s="2"/>
      <x:c r="C125" s="2"/>
      <x:c r="D125" s="2"/>
      <x:c r="E125" s="2"/>
      <x:c r="F125" s="2"/>
      <x:c r="G125" s="2"/>
      <x:c r="H125" s="2"/>
    </x:row>
    <x:row r="126" ht="23" customHeight="1">
      <x:c r="A126" s="2"/>
      <x:c r="B126" s="2"/>
      <x:c r="C126" s="2"/>
      <x:c r="D126" s="2"/>
      <x:c r="E126" s="2"/>
      <x:c r="F126" s="2"/>
      <x:c r="G126" s="2"/>
      <x:c r="H126" s="2"/>
    </x:row>
    <x:row r="127" ht="23" customHeight="1">
      <x:c r="A127" s="2"/>
      <x:c r="B127" s="2"/>
      <x:c r="C127" s="2"/>
      <x:c r="D127" s="2"/>
      <x:c r="E127" s="2"/>
      <x:c r="F127" s="2"/>
      <x:c r="G127" s="2"/>
      <x:c r="H127" s="2"/>
    </x:row>
    <x:row r="128" ht="23" customHeight="1">
      <x:c r="A128" s="2"/>
      <x:c r="B128" s="2"/>
      <x:c r="C128" s="2"/>
      <x:c r="D128" s="2"/>
      <x:c r="E128" s="2"/>
      <x:c r="F128" s="2"/>
      <x:c r="G128" s="2"/>
      <x:c r="H128" s="2"/>
    </x:row>
    <x:row r="129" ht="23" customHeight="1">
      <x:c r="A129" s="2"/>
      <x:c r="B129" s="2"/>
      <x:c r="C129" s="2"/>
      <x:c r="D129" s="2"/>
      <x:c r="E129" s="2"/>
      <x:c r="F129" s="2"/>
      <x:c r="G129" s="2"/>
      <x:c r="H129" s="2"/>
    </x:row>
    <x:row r="130" ht="23" customHeight="1">
      <x:c r="A130" s="2"/>
      <x:c r="B130" s="2"/>
      <x:c r="C130" s="2"/>
      <x:c r="D130" s="2"/>
      <x:c r="E130" s="2"/>
      <x:c r="F130" s="2"/>
      <x:c r="G130" s="2"/>
      <x:c r="H130" s="2"/>
    </x:row>
    <x:row r="131" ht="23" customHeight="1">
      <x:c r="A131" s="2"/>
      <x:c r="B131" s="2"/>
      <x:c r="C131" s="2"/>
      <x:c r="D131" s="2"/>
      <x:c r="E131" s="2"/>
      <x:c r="F131" s="2"/>
      <x:c r="G131" s="2"/>
      <x:c r="H131" s="2"/>
    </x:row>
    <x:row r="132" ht="23" customHeight="1">
      <x:c r="A132" s="2"/>
      <x:c r="B132" s="2"/>
      <x:c r="C132" s="2"/>
      <x:c r="D132" s="2"/>
      <x:c r="E132" s="2"/>
      <x:c r="F132" s="2"/>
      <x:c r="G132" s="2"/>
      <x:c r="H132" s="2"/>
    </x:row>
    <x:row r="133" ht="23" customHeight="1">
      <x:c r="A133" s="2"/>
      <x:c r="B133" s="2"/>
      <x:c r="C133" s="2"/>
      <x:c r="D133" s="2"/>
      <x:c r="E133" s="2"/>
      <x:c r="F133" s="2"/>
      <x:c r="G133" s="2"/>
      <x:c r="H133" s="2"/>
    </x:row>
    <x:row r="134" ht="23" customHeight="1">
      <x:c r="A134" s="2"/>
      <x:c r="B134" s="2"/>
      <x:c r="C134" s="2"/>
      <x:c r="D134" s="2"/>
      <x:c r="E134" s="2"/>
      <x:c r="F134" s="2"/>
      <x:c r="G134" s="2"/>
      <x:c r="H134" s="2"/>
    </x:row>
    <x:row r="135" ht="23" customHeight="1">
      <x:c r="A135" s="2"/>
      <x:c r="B135" s="2"/>
      <x:c r="C135" s="2"/>
      <x:c r="D135" s="2"/>
      <x:c r="E135" s="2"/>
      <x:c r="F135" s="2"/>
      <x:c r="G135" s="2"/>
      <x:c r="H135" s="2"/>
    </x:row>
    <x:row r="136" ht="23" customHeight="1">
      <x:c r="A136" s="2"/>
      <x:c r="B136" s="2"/>
      <x:c r="C136" s="2"/>
      <x:c r="D136" s="2"/>
      <x:c r="E136" s="2"/>
      <x:c r="F136" s="2"/>
      <x:c r="G136" s="2"/>
      <x:c r="H136" s="2"/>
    </x:row>
    <x:row r="137" ht="23" customHeight="1">
      <x:c r="A137" s="2"/>
      <x:c r="B137" s="2"/>
      <x:c r="C137" s="2"/>
      <x:c r="D137" s="2"/>
      <x:c r="E137" s="2"/>
      <x:c r="F137" s="2"/>
      <x:c r="G137" s="2"/>
      <x:c r="H137" s="2"/>
    </x:row>
    <x:row r="138" ht="23" customHeight="1">
      <x:c r="A138" s="2"/>
      <x:c r="B138" s="2"/>
      <x:c r="C138" s="2"/>
      <x:c r="D138" s="2"/>
      <x:c r="E138" s="2"/>
      <x:c r="F138" s="2"/>
      <x:c r="G138" s="2"/>
      <x:c r="H138" s="2"/>
    </x:row>
    <x:row r="139" ht="23" customHeight="1">
      <x:c r="A139" s="2"/>
      <x:c r="B139" s="2"/>
      <x:c r="C139" s="2"/>
      <x:c r="D139" s="2"/>
      <x:c r="E139" s="2"/>
      <x:c r="F139" s="2"/>
      <x:c r="G139" s="2"/>
      <x:c r="H139" s="2"/>
    </x:row>
    <x:row r="140" ht="23" customHeight="1">
      <x:c r="A140" s="2"/>
      <x:c r="B140" s="2"/>
      <x:c r="C140" s="2"/>
      <x:c r="D140" s="2"/>
      <x:c r="E140" s="2"/>
      <x:c r="F140" s="2"/>
      <x:c r="G140" s="2"/>
      <x:c r="H140" s="2"/>
    </x:row>
    <x:row r="141" ht="23" customHeight="1">
      <x:c r="A141" s="2"/>
      <x:c r="B141" s="2"/>
      <x:c r="C141" s="2"/>
      <x:c r="D141" s="2"/>
      <x:c r="E141" s="2"/>
      <x:c r="F141" s="2"/>
      <x:c r="G141" s="2"/>
      <x:c r="H141" s="2"/>
    </x:row>
    <x:row r="142" ht="23" customHeight="1">
      <x:c r="A142" s="2"/>
      <x:c r="B142" s="2"/>
      <x:c r="C142" s="2"/>
      <x:c r="D142" s="2"/>
      <x:c r="E142" s="2"/>
      <x:c r="F142" s="2"/>
      <x:c r="G142" s="2"/>
      <x:c r="H142" s="2"/>
    </x:row>
    <x:row r="143" ht="23" customHeight="1">
      <x:c r="A143" s="2"/>
      <x:c r="B143" s="2"/>
      <x:c r="C143" s="2"/>
      <x:c r="D143" s="2"/>
      <x:c r="E143" s="2"/>
      <x:c r="F143" s="2"/>
      <x:c r="G143" s="2"/>
      <x:c r="H143" s="2"/>
    </x:row>
    <x:row r="144" ht="23" customHeight="1">
      <x:c r="A144" s="2"/>
      <x:c r="B144" s="2"/>
      <x:c r="C144" s="2"/>
      <x:c r="D144" s="2"/>
      <x:c r="E144" s="2"/>
      <x:c r="F144" s="2"/>
      <x:c r="G144" s="2"/>
      <x:c r="H144" s="2"/>
    </x:row>
    <x:row r="145" ht="23" customHeight="1">
      <x:c r="A145" s="2"/>
      <x:c r="B145" s="2"/>
      <x:c r="C145" s="2"/>
      <x:c r="D145" s="2"/>
      <x:c r="E145" s="2"/>
      <x:c r="F145" s="2"/>
      <x:c r="G145" s="2"/>
      <x:c r="H145" s="2"/>
    </x:row>
    <x:row r="146" ht="23" customHeight="1">
      <x:c r="A146" s="2"/>
      <x:c r="B146" s="2"/>
      <x:c r="C146" s="2"/>
      <x:c r="D146" s="2"/>
      <x:c r="E146" s="2"/>
      <x:c r="F146" s="2"/>
      <x:c r="G146" s="2"/>
      <x:c r="H146" s="2"/>
    </x:row>
    <x:row r="147" ht="23" customHeight="1">
      <x:c r="A147" s="2"/>
      <x:c r="B147" s="2"/>
      <x:c r="C147" s="2"/>
      <x:c r="D147" s="2"/>
      <x:c r="E147" s="2"/>
      <x:c r="F147" s="2"/>
      <x:c r="G147" s="2"/>
      <x:c r="H147" s="2"/>
    </x:row>
    <x:row r="148" ht="23" customHeight="1">
      <x:c r="A148" s="2"/>
      <x:c r="B148" s="2"/>
      <x:c r="C148" s="2"/>
      <x:c r="D148" s="2"/>
      <x:c r="E148" s="2"/>
      <x:c r="F148" s="2"/>
      <x:c r="G148" s="2"/>
      <x:c r="H148" s="2"/>
    </x:row>
    <x:row r="149" ht="23" customHeight="1">
      <x:c r="A149" s="2"/>
      <x:c r="B149" s="2"/>
      <x:c r="C149" s="2"/>
      <x:c r="D149" s="2"/>
      <x:c r="E149" s="2"/>
      <x:c r="F149" s="2"/>
      <x:c r="G149" s="2"/>
      <x:c r="H149" s="2"/>
    </x:row>
    <x:row r="150" ht="23" customHeight="1">
      <x:c r="A150" s="2"/>
      <x:c r="B150" s="2"/>
      <x:c r="C150" s="2"/>
      <x:c r="D150" s="2"/>
      <x:c r="E150" s="2"/>
      <x:c r="F150" s="2"/>
      <x:c r="G150" s="2"/>
      <x:c r="H150" s="2"/>
    </x:row>
    <x:row r="151" ht="23" customHeight="1">
      <x:c r="A151" s="2"/>
      <x:c r="B151" s="2"/>
      <x:c r="C151" s="2"/>
      <x:c r="D151" s="2"/>
      <x:c r="E151" s="2"/>
      <x:c r="F151" s="2"/>
      <x:c r="G151" s="2"/>
      <x:c r="H151" s="2"/>
    </x:row>
    <x:row r="152" ht="23" customHeight="1">
      <x:c r="A152" s="2"/>
      <x:c r="B152" s="2"/>
      <x:c r="C152" s="2"/>
      <x:c r="D152" s="2"/>
      <x:c r="E152" s="2"/>
      <x:c r="F152" s="2"/>
      <x:c r="G152" s="2"/>
      <x:c r="H152" s="2"/>
    </x:row>
    <x:row r="153" ht="23" customHeight="1">
      <x:c r="A153" s="2"/>
      <x:c r="B153" s="2"/>
      <x:c r="C153" s="2"/>
      <x:c r="D153" s="2"/>
      <x:c r="E153" s="2"/>
      <x:c r="F153" s="2"/>
      <x:c r="G153" s="2"/>
      <x:c r="H153" s="2"/>
    </x:row>
    <x:row r="154" ht="23" customHeight="1">
      <x:c r="A154" s="2"/>
      <x:c r="B154" s="2"/>
      <x:c r="C154" s="2"/>
      <x:c r="D154" s="2"/>
      <x:c r="E154" s="2"/>
      <x:c r="F154" s="2"/>
      <x:c r="G154" s="2"/>
      <x:c r="H154" s="2"/>
    </x:row>
    <x:row r="155" ht="23" customHeight="1">
      <x:c r="A155" s="2"/>
      <x:c r="B155" s="2"/>
      <x:c r="C155" s="2"/>
      <x:c r="D155" s="2"/>
      <x:c r="E155" s="2"/>
      <x:c r="F155" s="2"/>
      <x:c r="G155" s="2"/>
      <x:c r="H155" s="2"/>
    </x:row>
    <x:row r="156" ht="23" customHeight="1">
      <x:c r="A156" s="2"/>
      <x:c r="B156" s="2"/>
      <x:c r="C156" s="2"/>
      <x:c r="D156" s="2"/>
      <x:c r="E156" s="2"/>
      <x:c r="F156" s="2"/>
      <x:c r="G156" s="2"/>
      <x:c r="H156" s="2"/>
    </x:row>
    <x:row r="157" ht="23" customHeight="1">
      <x:c r="A157" s="2"/>
      <x:c r="B157" s="2"/>
      <x:c r="C157" s="2"/>
      <x:c r="D157" s="2"/>
      <x:c r="E157" s="2"/>
      <x:c r="F157" s="2"/>
      <x:c r="G157" s="2"/>
      <x:c r="H157" s="2"/>
    </x:row>
    <x:row r="158" ht="23" customHeight="1">
      <x:c r="A158" s="2"/>
      <x:c r="B158" s="2"/>
      <x:c r="C158" s="2"/>
      <x:c r="D158" s="2"/>
      <x:c r="E158" s="2"/>
      <x:c r="F158" s="2"/>
      <x:c r="G158" s="2"/>
      <x:c r="H158" s="2"/>
    </x:row>
    <x:row r="159" ht="23" customHeight="1">
      <x:c r="A159" s="2"/>
      <x:c r="B159" s="2"/>
      <x:c r="C159" s="2"/>
      <x:c r="D159" s="2"/>
      <x:c r="E159" s="2"/>
      <x:c r="F159" s="2"/>
      <x:c r="G159" s="2"/>
      <x:c r="H159" s="2"/>
    </x:row>
    <x:row r="160" ht="23" customHeight="1">
      <x:c r="A160" s="2"/>
      <x:c r="B160" s="2"/>
      <x:c r="C160" s="2"/>
      <x:c r="D160" s="2"/>
      <x:c r="E160" s="2"/>
      <x:c r="F160" s="2"/>
      <x:c r="G160" s="2"/>
      <x:c r="H160" s="2"/>
    </x:row>
    <x:row r="161" ht="23" customHeight="1">
      <x:c r="A161" s="2"/>
      <x:c r="B161" s="2"/>
      <x:c r="C161" s="2"/>
      <x:c r="D161" s="2"/>
      <x:c r="E161" s="2"/>
      <x:c r="F161" s="2"/>
      <x:c r="G161" s="2"/>
      <x:c r="H161" s="2"/>
    </x:row>
    <x:row r="162" ht="23" customHeight="1">
      <x:c r="A162" s="2"/>
      <x:c r="B162" s="2"/>
      <x:c r="C162" s="2"/>
      <x:c r="D162" s="2"/>
      <x:c r="E162" s="2"/>
      <x:c r="F162" s="2"/>
      <x:c r="G162" s="2"/>
      <x:c r="H162" s="2"/>
    </x:row>
    <x:row r="163" ht="23" customHeight="1">
      <x:c r="A163" s="2"/>
      <x:c r="B163" s="2"/>
      <x:c r="C163" s="2"/>
      <x:c r="D163" s="2"/>
      <x:c r="E163" s="2"/>
      <x:c r="F163" s="2"/>
      <x:c r="G163" s="2"/>
      <x:c r="H163" s="2"/>
    </x:row>
    <x:row r="164" ht="23" customHeight="1">
      <x:c r="A164" s="2"/>
      <x:c r="B164" s="2"/>
      <x:c r="C164" s="2"/>
      <x:c r="D164" s="2"/>
      <x:c r="E164" s="2"/>
      <x:c r="F164" s="2"/>
      <x:c r="G164" s="2"/>
      <x:c r="H164" s="2"/>
    </x:row>
    <x:row r="165" ht="23" customHeight="1">
      <x:c r="A165" s="2"/>
      <x:c r="B165" s="2"/>
      <x:c r="C165" s="2"/>
      <x:c r="D165" s="2"/>
      <x:c r="E165" s="2"/>
      <x:c r="F165" s="2"/>
      <x:c r="G165" s="2"/>
      <x:c r="H165" s="2"/>
    </x:row>
    <x:row r="166" ht="23" customHeight="1">
      <x:c r="A166" s="2"/>
      <x:c r="B166" s="2"/>
      <x:c r="C166" s="2"/>
      <x:c r="D166" s="2"/>
      <x:c r="E166" s="2"/>
      <x:c r="F166" s="2"/>
      <x:c r="G166" s="2"/>
      <x:c r="H166" s="2"/>
    </x:row>
    <x:row r="167" ht="23" customHeight="1">
      <x:c r="A167" s="2"/>
      <x:c r="B167" s="2"/>
      <x:c r="C167" s="2"/>
      <x:c r="D167" s="2"/>
      <x:c r="E167" s="2"/>
      <x:c r="F167" s="2"/>
      <x:c r="G167" s="2"/>
      <x:c r="H167" s="2"/>
    </x:row>
    <x:row r="168" ht="23" customHeight="1">
      <x:c r="A168" s="2"/>
      <x:c r="B168" s="2"/>
      <x:c r="C168" s="2"/>
      <x:c r="D168" s="2"/>
      <x:c r="E168" s="2"/>
      <x:c r="F168" s="2"/>
      <x:c r="G168" s="2"/>
      <x:c r="H168" s="2"/>
    </x:row>
    <x:row r="169" ht="23" customHeight="1">
      <x:c r="A169" s="2"/>
      <x:c r="B169" s="2"/>
      <x:c r="C169" s="2"/>
      <x:c r="D169" s="2"/>
      <x:c r="E169" s="2"/>
      <x:c r="F169" s="2"/>
      <x:c r="G169" s="2"/>
      <x:c r="H169" s="2"/>
    </x:row>
    <x:row r="170" ht="23" customHeight="1">
      <x:c r="A170" s="2"/>
      <x:c r="B170" s="2"/>
      <x:c r="C170" s="2"/>
      <x:c r="D170" s="2"/>
      <x:c r="E170" s="2"/>
      <x:c r="F170" s="2"/>
      <x:c r="G170" s="2"/>
      <x:c r="H170" s="2"/>
    </x:row>
    <x:row r="171" ht="23" customHeight="1">
      <x:c r="A171" s="2"/>
      <x:c r="B171" s="2"/>
      <x:c r="C171" s="2"/>
      <x:c r="D171" s="2"/>
      <x:c r="E171" s="2"/>
      <x:c r="F171" s="2"/>
      <x:c r="G171" s="2"/>
      <x:c r="H171" s="2"/>
    </x:row>
    <x:row r="172" ht="23" customHeight="1">
      <x:c r="A172" s="2"/>
      <x:c r="B172" s="2"/>
      <x:c r="C172" s="2"/>
      <x:c r="D172" s="2"/>
      <x:c r="E172" s="2"/>
      <x:c r="F172" s="2"/>
      <x:c r="G172" s="2"/>
      <x:c r="H172" s="2"/>
    </x:row>
    <x:row r="173" ht="23" customHeight="1">
      <x:c r="A173" s="2"/>
      <x:c r="B173" s="2"/>
      <x:c r="C173" s="2"/>
      <x:c r="D173" s="2"/>
      <x:c r="E173" s="2"/>
      <x:c r="F173" s="2"/>
      <x:c r="G173" s="2"/>
      <x:c r="H173" s="2"/>
    </x:row>
    <x:row r="174" ht="23" customHeight="1">
      <x:c r="A174" s="2"/>
      <x:c r="B174" s="2"/>
      <x:c r="C174" s="2"/>
      <x:c r="D174" s="2"/>
      <x:c r="E174" s="2"/>
      <x:c r="F174" s="2"/>
      <x:c r="G174" s="2"/>
      <x:c r="H174" s="2"/>
    </x:row>
    <x:row r="175" ht="23" customHeight="1">
      <x:c r="A175" s="2"/>
      <x:c r="B175" s="2"/>
      <x:c r="C175" s="2"/>
      <x:c r="D175" s="2"/>
      <x:c r="E175" s="2"/>
      <x:c r="F175" s="2"/>
      <x:c r="G175" s="2"/>
      <x:c r="H175" s="2"/>
    </x:row>
    <x:row r="176" ht="23" customHeight="1">
      <x:c r="A176" s="2"/>
      <x:c r="B176" s="2"/>
      <x:c r="C176" s="2"/>
      <x:c r="D176" s="2"/>
      <x:c r="E176" s="2"/>
      <x:c r="F176" s="2"/>
      <x:c r="G176" s="2"/>
      <x:c r="H176" s="2"/>
    </x:row>
    <x:row r="177" ht="23" customHeight="1">
      <x:c r="A177" s="2"/>
      <x:c r="B177" s="2"/>
      <x:c r="C177" s="2"/>
      <x:c r="D177" s="2"/>
      <x:c r="E177" s="2"/>
      <x:c r="F177" s="2"/>
      <x:c r="G177" s="2"/>
      <x:c r="H177" s="2"/>
    </x:row>
    <x:row r="178" ht="23" customHeight="1">
      <x:c r="A178" s="2"/>
      <x:c r="B178" s="2"/>
      <x:c r="C178" s="2"/>
      <x:c r="D178" s="2"/>
      <x:c r="E178" s="2"/>
      <x:c r="F178" s="2"/>
      <x:c r="G178" s="2"/>
      <x:c r="H178" s="2"/>
    </x:row>
    <x:row r="179" ht="23" customHeight="1">
      <x:c r="A179" s="2"/>
      <x:c r="B179" s="2"/>
      <x:c r="C179" s="2"/>
      <x:c r="D179" s="2"/>
      <x:c r="E179" s="2"/>
      <x:c r="F179" s="2"/>
      <x:c r="G179" s="2"/>
      <x:c r="H179" s="2"/>
    </x:row>
    <x:row r="180" ht="23" customHeight="1">
      <x:c r="A180" s="2"/>
      <x:c r="B180" s="2"/>
      <x:c r="C180" s="2"/>
      <x:c r="D180" s="2"/>
      <x:c r="E180" s="2"/>
      <x:c r="F180" s="2"/>
      <x:c r="G180" s="2"/>
      <x:c r="H180" s="2"/>
    </x:row>
    <x:row r="181" ht="23" customHeight="1">
      <x:c r="A181" s="2"/>
      <x:c r="B181" s="2"/>
      <x:c r="C181" s="2"/>
      <x:c r="D181" s="2"/>
      <x:c r="E181" s="2"/>
      <x:c r="F181" s="2"/>
      <x:c r="G181" s="2"/>
      <x:c r="H181" s="2"/>
    </x:row>
    <x:row r="182" ht="23" customHeight="1">
      <x:c r="A182" s="2"/>
      <x:c r="B182" s="2"/>
      <x:c r="C182" s="2"/>
      <x:c r="D182" s="2"/>
      <x:c r="E182" s="2"/>
      <x:c r="F182" s="2"/>
      <x:c r="G182" s="2"/>
      <x:c r="H182" s="2"/>
    </x:row>
    <x:row r="183" ht="23" customHeight="1">
      <x:c r="A183" s="2"/>
      <x:c r="B183" s="2"/>
      <x:c r="C183" s="2"/>
      <x:c r="D183" s="2"/>
      <x:c r="E183" s="2"/>
      <x:c r="F183" s="2"/>
      <x:c r="G183" s="2"/>
      <x:c r="H183" s="2"/>
    </x:row>
    <x:row r="184" ht="23" customHeight="1">
      <x:c r="A184" s="2"/>
      <x:c r="B184" s="2"/>
      <x:c r="C184" s="2"/>
      <x:c r="D184" s="2"/>
      <x:c r="E184" s="2"/>
      <x:c r="F184" s="2"/>
      <x:c r="G184" s="2"/>
      <x:c r="H184" s="2"/>
    </x:row>
    <x:row r="185" ht="23" customHeight="1">
      <x:c r="A185" s="2"/>
      <x:c r="B185" s="2"/>
      <x:c r="C185" s="2"/>
      <x:c r="D185" s="2"/>
      <x:c r="E185" s="2"/>
      <x:c r="F185" s="2"/>
      <x:c r="G185" s="2"/>
      <x:c r="H185" s="2"/>
    </x:row>
    <x:row r="186" ht="23" customHeight="1">
      <x:c r="A186" s="2"/>
      <x:c r="B186" s="2"/>
      <x:c r="C186" s="2"/>
      <x:c r="D186" s="2"/>
      <x:c r="E186" s="2"/>
      <x:c r="F186" s="2"/>
      <x:c r="G186" s="2"/>
      <x:c r="H186" s="2"/>
    </x:row>
    <x:row r="187" ht="23" customHeight="1">
      <x:c r="A187" s="2"/>
      <x:c r="B187" s="2"/>
      <x:c r="C187" s="2"/>
      <x:c r="D187" s="2"/>
      <x:c r="E187" s="2"/>
      <x:c r="F187" s="2"/>
      <x:c r="G187" s="2"/>
      <x:c r="H187" s="2"/>
    </x:row>
    <x:row r="188" ht="23" customHeight="1">
      <x:c r="A188" s="2"/>
      <x:c r="B188" s="2"/>
      <x:c r="C188" s="2"/>
      <x:c r="D188" s="2"/>
      <x:c r="E188" s="2"/>
      <x:c r="F188" s="2"/>
      <x:c r="G188" s="2"/>
      <x:c r="H188" s="2"/>
    </x:row>
    <x:row r="189" ht="23" customHeight="1">
      <x:c r="A189" s="2"/>
      <x:c r="B189" s="2"/>
      <x:c r="C189" s="2"/>
      <x:c r="D189" s="2"/>
      <x:c r="E189" s="2"/>
      <x:c r="F189" s="2"/>
      <x:c r="G189" s="2"/>
      <x:c r="H189" s="2"/>
    </x:row>
    <x:row r="190" ht="23" customHeight="1">
      <x:c r="A190" s="2"/>
      <x:c r="B190" s="2"/>
      <x:c r="C190" s="2"/>
      <x:c r="D190" s="2"/>
      <x:c r="E190" s="2"/>
      <x:c r="F190" s="2"/>
      <x:c r="G190" s="2"/>
      <x:c r="H190" s="2"/>
    </x:row>
    <x:row r="191" ht="23" customHeight="1">
      <x:c r="A191" s="2"/>
      <x:c r="B191" s="2"/>
      <x:c r="C191" s="2"/>
      <x:c r="D191" s="2"/>
      <x:c r="E191" s="2"/>
      <x:c r="F191" s="2"/>
      <x:c r="G191" s="2"/>
      <x:c r="H191" s="2"/>
    </x:row>
    <x:row r="192" ht="23" customHeight="1">
      <x:c r="A192" s="2"/>
      <x:c r="B192" s="2"/>
      <x:c r="C192" s="2"/>
      <x:c r="D192" s="2"/>
      <x:c r="E192" s="2"/>
      <x:c r="F192" s="2"/>
      <x:c r="G192" s="2"/>
      <x:c r="H192" s="2"/>
    </x:row>
    <x:row r="193" ht="23" customHeight="1">
      <x:c r="A193" s="2"/>
      <x:c r="B193" s="2"/>
      <x:c r="C193" s="2"/>
      <x:c r="D193" s="2"/>
      <x:c r="E193" s="2"/>
      <x:c r="F193" s="2"/>
      <x:c r="G193" s="2"/>
      <x:c r="H193" s="2"/>
    </x:row>
    <x:row r="194" ht="23" customHeight="1">
      <x:c r="A194" s="2"/>
      <x:c r="B194" s="2"/>
      <x:c r="C194" s="2"/>
      <x:c r="D194" s="2"/>
      <x:c r="E194" s="2"/>
      <x:c r="F194" s="2"/>
      <x:c r="G194" s="2"/>
      <x:c r="H194" s="2"/>
    </x:row>
    <x:row r="195" ht="23" customHeight="1">
      <x:c r="A195" s="2"/>
      <x:c r="B195" s="2"/>
      <x:c r="C195" s="2"/>
      <x:c r="D195" s="2"/>
      <x:c r="E195" s="2"/>
      <x:c r="F195" s="2"/>
      <x:c r="G195" s="2"/>
      <x:c r="H195" s="2"/>
    </x:row>
    <x:row r="196" ht="23" customHeight="1">
      <x:c r="A196" s="2"/>
      <x:c r="B196" s="2"/>
      <x:c r="C196" s="2"/>
      <x:c r="D196" s="2"/>
      <x:c r="E196" s="2"/>
      <x:c r="F196" s="2"/>
      <x:c r="G196" s="2"/>
      <x:c r="H196" s="2"/>
    </x:row>
    <x:row r="197" ht="23" customHeight="1">
      <x:c r="A197" s="2"/>
      <x:c r="B197" s="2"/>
      <x:c r="C197" s="2"/>
      <x:c r="D197" s="2"/>
      <x:c r="E197" s="2"/>
      <x:c r="F197" s="2"/>
      <x:c r="G197" s="2"/>
      <x:c r="H197" s="2"/>
    </x:row>
    <x:row r="198" ht="23" customHeight="1">
      <x:c r="A198" s="2"/>
      <x:c r="B198" s="2"/>
      <x:c r="C198" s="2"/>
      <x:c r="D198" s="2"/>
      <x:c r="E198" s="2"/>
      <x:c r="F198" s="2"/>
      <x:c r="G198" s="2"/>
      <x:c r="H198" s="2"/>
    </x:row>
    <x:row r="199" ht="23" customHeight="1">
      <x:c r="A199" s="2"/>
      <x:c r="B199" s="2"/>
      <x:c r="C199" s="2"/>
      <x:c r="D199" s="2"/>
      <x:c r="E199" s="2"/>
      <x:c r="F199" s="2"/>
      <x:c r="G199" s="2"/>
      <x:c r="H199" s="2"/>
    </x:row>
    <x:row r="200" ht="23" customHeight="1">
      <x:c r="A200" s="2"/>
      <x:c r="B200" s="2"/>
      <x:c r="C200" s="2"/>
      <x:c r="D200" s="2"/>
      <x:c r="E200" s="2"/>
      <x:c r="F200" s="2"/>
      <x:c r="G200" s="2"/>
      <x:c r="H200" s="2"/>
    </x:row>
    <x:row r="201" ht="23" customHeight="1">
      <x:c r="A201" s="2"/>
      <x:c r="B201" s="2"/>
      <x:c r="C201" s="2"/>
      <x:c r="D201" s="2"/>
      <x:c r="E201" s="2"/>
      <x:c r="F201" s="2"/>
      <x:c r="G201" s="2"/>
      <x:c r="H201" s="2"/>
    </x:row>
    <x:row r="202" ht="23" customHeight="1">
      <x:c r="A202" s="2"/>
      <x:c r="B202" s="2"/>
      <x:c r="C202" s="2"/>
      <x:c r="D202" s="2"/>
      <x:c r="E202" s="2"/>
      <x:c r="F202" s="2"/>
      <x:c r="G202" s="2"/>
      <x:c r="H202" s="2"/>
    </x:row>
    <x:row r="203" ht="23" customHeight="1">
      <x:c r="A203" s="2"/>
      <x:c r="B203" s="2"/>
      <x:c r="C203" s="2"/>
      <x:c r="D203" s="2"/>
      <x:c r="E203" s="2"/>
      <x:c r="F203" s="2"/>
      <x:c r="G203" s="2"/>
      <x:c r="H203" s="2"/>
    </x:row>
    <x:row r="204" ht="23" customHeight="1">
      <x:c r="A204" s="2"/>
      <x:c r="B204" s="2"/>
      <x:c r="C204" s="2"/>
      <x:c r="D204" s="2"/>
      <x:c r="E204" s="2"/>
      <x:c r="F204" s="2"/>
      <x:c r="G204" s="2"/>
      <x:c r="H204" s="2"/>
    </x:row>
    <x:row r="205" ht="23" customHeight="1">
      <x:c r="A205" s="2"/>
      <x:c r="B205" s="2"/>
      <x:c r="C205" s="2"/>
      <x:c r="D205" s="2"/>
      <x:c r="E205" s="2"/>
      <x:c r="F205" s="2"/>
      <x:c r="G205" s="2"/>
      <x:c r="H205" s="2"/>
    </x:row>
    <x:row r="206" ht="23" customHeight="1">
      <x:c r="A206" s="2"/>
      <x:c r="B206" s="2"/>
      <x:c r="C206" s="2"/>
      <x:c r="D206" s="2"/>
      <x:c r="E206" s="2"/>
      <x:c r="F206" s="2"/>
      <x:c r="G206" s="2"/>
      <x:c r="H206" s="2"/>
    </x:row>
    <x:row r="207" ht="23" customHeight="1">
      <x:c r="A207" s="2"/>
      <x:c r="B207" s="2"/>
      <x:c r="C207" s="2"/>
      <x:c r="D207" s="2"/>
      <x:c r="E207" s="2"/>
      <x:c r="F207" s="2"/>
      <x:c r="G207" s="2"/>
      <x:c r="H207" s="2"/>
    </x:row>
    <x:row r="208" ht="23" customHeight="1">
      <x:c r="A208" s="2"/>
      <x:c r="B208" s="2"/>
      <x:c r="C208" s="2"/>
      <x:c r="D208" s="2"/>
      <x:c r="E208" s="2"/>
      <x:c r="F208" s="2"/>
      <x:c r="G208" s="2"/>
      <x:c r="H208" s="2"/>
    </x:row>
    <x:row r="209" ht="23" customHeight="1">
      <x:c r="A209" s="2"/>
      <x:c r="B209" s="2"/>
      <x:c r="C209" s="2"/>
      <x:c r="D209" s="2"/>
      <x:c r="E209" s="2"/>
      <x:c r="F209" s="2"/>
      <x:c r="G209" s="2"/>
      <x:c r="H209" s="2"/>
    </x:row>
    <x:row r="210" ht="23" customHeight="1">
      <x:c r="A210" s="2"/>
      <x:c r="B210" s="2"/>
      <x:c r="C210" s="2"/>
      <x:c r="D210" s="2"/>
      <x:c r="E210" s="2"/>
      <x:c r="F210" s="2"/>
      <x:c r="G210" s="2"/>
      <x:c r="H210" s="2"/>
    </x:row>
    <x:row r="211" ht="23" customHeight="1">
      <x:c r="A211" s="2"/>
      <x:c r="B211" s="2"/>
      <x:c r="C211" s="2"/>
      <x:c r="D211" s="2"/>
      <x:c r="E211" s="2"/>
      <x:c r="F211" s="2"/>
      <x:c r="G211" s="2"/>
      <x:c r="H211" s="2"/>
    </x:row>
    <x:row r="212" ht="23" customHeight="1">
      <x:c r="A212" s="2"/>
      <x:c r="B212" s="2"/>
      <x:c r="C212" s="2"/>
      <x:c r="D212" s="2"/>
      <x:c r="E212" s="2"/>
      <x:c r="F212" s="2"/>
      <x:c r="G212" s="2"/>
      <x:c r="H212" s="2"/>
    </x:row>
    <x:row r="213" ht="23" customHeight="1">
      <x:c r="A213" s="2"/>
      <x:c r="B213" s="2"/>
      <x:c r="C213" s="2"/>
      <x:c r="D213" s="2"/>
      <x:c r="E213" s="2"/>
      <x:c r="F213" s="2"/>
      <x:c r="G213" s="2"/>
      <x:c r="H213" s="2"/>
    </x:row>
    <x:row r="214" ht="23" customHeight="1">
      <x:c r="A214" s="2"/>
      <x:c r="B214" s="2"/>
      <x:c r="C214" s="2"/>
      <x:c r="D214" s="2"/>
      <x:c r="E214" s="2"/>
      <x:c r="F214" s="2"/>
      <x:c r="G214" s="2"/>
      <x:c r="H214" s="2"/>
    </x:row>
    <x:row r="215" ht="23" customHeight="1">
      <x:c r="A215" s="2"/>
      <x:c r="B215" s="2"/>
      <x:c r="C215" s="2"/>
      <x:c r="D215" s="2"/>
      <x:c r="E215" s="2"/>
      <x:c r="F215" s="2"/>
      <x:c r="G215" s="2"/>
      <x:c r="H215" s="2"/>
    </x:row>
    <x:row r="216" ht="23" customHeight="1">
      <x:c r="A216" s="2"/>
      <x:c r="B216" s="2"/>
      <x:c r="C216" s="2"/>
      <x:c r="D216" s="2"/>
      <x:c r="E216" s="2"/>
      <x:c r="F216" s="2"/>
      <x:c r="G216" s="2"/>
      <x:c r="H216" s="2"/>
    </x:row>
    <x:row r="217" ht="23" customHeight="1">
      <x:c r="A217" s="2"/>
      <x:c r="B217" s="2"/>
      <x:c r="C217" s="2"/>
      <x:c r="D217" s="2"/>
      <x:c r="E217" s="2"/>
      <x:c r="F217" s="2"/>
      <x:c r="G217" s="2"/>
      <x:c r="H217" s="2"/>
    </x:row>
    <x:row r="218" ht="23" customHeight="1">
      <x:c r="A218" s="2"/>
      <x:c r="B218" s="2"/>
      <x:c r="C218" s="2"/>
      <x:c r="D218" s="2"/>
      <x:c r="E218" s="2"/>
      <x:c r="F218" s="2"/>
      <x:c r="G218" s="2"/>
      <x:c r="H218" s="2"/>
    </x:row>
    <x:row r="219" ht="23" customHeight="1">
      <x:c r="A219" s="2"/>
      <x:c r="B219" s="2"/>
      <x:c r="C219" s="2"/>
      <x:c r="D219" s="2"/>
      <x:c r="E219" s="2"/>
      <x:c r="F219" s="2"/>
      <x:c r="G219" s="2"/>
      <x:c r="H219" s="2"/>
    </x:row>
    <x:row r="220" ht="23" customHeight="1">
      <x:c r="A220" s="2"/>
      <x:c r="B220" s="2"/>
      <x:c r="C220" s="2"/>
      <x:c r="D220" s="2"/>
      <x:c r="E220" s="2"/>
      <x:c r="F220" s="2"/>
      <x:c r="G220" s="2"/>
      <x:c r="H220" s="2"/>
    </x:row>
    <x:row r="221" ht="23" customHeight="1">
      <x:c r="A221" s="2"/>
      <x:c r="B221" s="2"/>
      <x:c r="C221" s="2"/>
      <x:c r="D221" s="2"/>
      <x:c r="E221" s="2"/>
      <x:c r="F221" s="2"/>
      <x:c r="G221" s="2"/>
      <x:c r="H221" s="2"/>
    </x:row>
    <x:row r="222" ht="23" customHeight="1">
      <x:c r="A222" s="2"/>
      <x:c r="B222" s="2"/>
      <x:c r="C222" s="2"/>
      <x:c r="D222" s="2"/>
      <x:c r="E222" s="2"/>
      <x:c r="F222" s="2"/>
      <x:c r="G222" s="2"/>
      <x:c r="H222" s="2"/>
    </x:row>
    <x:row r="223" ht="23" customHeight="1">
      <x:c r="A223" s="2"/>
      <x:c r="B223" s="2"/>
      <x:c r="C223" s="2"/>
      <x:c r="D223" s="2"/>
      <x:c r="E223" s="2"/>
      <x:c r="F223" s="2"/>
      <x:c r="G223" s="2"/>
      <x:c r="H223" s="2"/>
    </x:row>
    <x:row r="224" ht="23" customHeight="1">
      <x:c r="A224" s="2"/>
      <x:c r="B224" s="2"/>
      <x:c r="C224" s="2"/>
      <x:c r="D224" s="2"/>
      <x:c r="E224" s="2"/>
      <x:c r="F224" s="2"/>
      <x:c r="G224" s="2"/>
      <x:c r="H224" s="2"/>
    </x:row>
    <x:row r="225" ht="23" customHeight="1">
      <x:c r="A225" s="2"/>
      <x:c r="B225" s="2"/>
      <x:c r="C225" s="2"/>
      <x:c r="D225" s="2"/>
      <x:c r="E225" s="2"/>
      <x:c r="F225" s="2"/>
      <x:c r="G225" s="2"/>
      <x:c r="H225" s="2"/>
    </x:row>
    <x:row r="226" ht="23" customHeight="1">
      <x:c r="A226" s="2"/>
      <x:c r="B226" s="2"/>
      <x:c r="C226" s="2"/>
      <x:c r="D226" s="2"/>
      <x:c r="E226" s="2"/>
      <x:c r="F226" s="2"/>
      <x:c r="G226" s="2"/>
      <x:c r="H226" s="2"/>
    </x:row>
    <x:row r="227" ht="23" customHeight="1">
      <x:c r="A227" s="2"/>
      <x:c r="B227" s="2"/>
      <x:c r="C227" s="2"/>
      <x:c r="D227" s="2"/>
      <x:c r="E227" s="2"/>
      <x:c r="F227" s="2"/>
      <x:c r="G227" s="2"/>
      <x:c r="H227" s="2"/>
    </x:row>
    <x:row r="228" ht="23" customHeight="1">
      <x:c r="A228" s="2"/>
      <x:c r="B228" s="2"/>
      <x:c r="C228" s="2"/>
      <x:c r="D228" s="2"/>
      <x:c r="E228" s="2"/>
      <x:c r="F228" s="2"/>
      <x:c r="G228" s="2"/>
      <x:c r="H228" s="2"/>
    </x:row>
    <x:row r="229" ht="23" customHeight="1">
      <x:c r="A229" s="2"/>
      <x:c r="B229" s="2"/>
      <x:c r="C229" s="2"/>
      <x:c r="D229" s="2"/>
      <x:c r="E229" s="2"/>
      <x:c r="F229" s="2"/>
      <x:c r="G229" s="2"/>
      <x:c r="H229" s="2"/>
    </x:row>
    <x:row r="230" ht="23" customHeight="1">
      <x:c r="A230" s="2"/>
      <x:c r="B230" s="2"/>
      <x:c r="C230" s="2"/>
      <x:c r="D230" s="2"/>
      <x:c r="E230" s="2"/>
      <x:c r="F230" s="2"/>
      <x:c r="G230" s="2"/>
      <x:c r="H230" s="2"/>
    </x:row>
    <x:row r="231" ht="23" customHeight="1">
      <x:c r="A231" s="2"/>
      <x:c r="B231" s="2"/>
      <x:c r="C231" s="2"/>
      <x:c r="D231" s="2"/>
      <x:c r="E231" s="2"/>
      <x:c r="F231" s="2"/>
      <x:c r="G231" s="2"/>
      <x:c r="H231" s="2"/>
    </x:row>
    <x:row r="232" ht="23" customHeight="1">
      <x:c r="A232" s="2"/>
      <x:c r="B232" s="2"/>
      <x:c r="C232" s="2"/>
      <x:c r="D232" s="2"/>
      <x:c r="E232" s="2"/>
      <x:c r="F232" s="2"/>
      <x:c r="G232" s="2"/>
      <x:c r="H232" s="2"/>
    </x:row>
    <x:row r="233" ht="23" customHeight="1">
      <x:c r="A233" s="2"/>
      <x:c r="B233" s="2"/>
      <x:c r="C233" s="2"/>
      <x:c r="D233" s="2"/>
      <x:c r="E233" s="2"/>
      <x:c r="F233" s="2"/>
      <x:c r="G233" s="2"/>
      <x:c r="H233" s="2"/>
    </x:row>
    <x:row r="234" ht="23" customHeight="1">
      <x:c r="A234" s="2"/>
      <x:c r="B234" s="2"/>
      <x:c r="C234" s="2"/>
      <x:c r="D234" s="2"/>
      <x:c r="E234" s="2"/>
      <x:c r="F234" s="2"/>
      <x:c r="G234" s="2"/>
      <x:c r="H234" s="2"/>
    </x:row>
    <x:row r="235" ht="23" customHeight="1">
      <x:c r="A235" s="2"/>
      <x:c r="B235" s="2"/>
      <x:c r="C235" s="2"/>
      <x:c r="D235" s="2"/>
      <x:c r="E235" s="2"/>
      <x:c r="F235" s="2"/>
      <x:c r="G235" s="2"/>
      <x:c r="H235" s="2"/>
    </x:row>
    <x:row r="236" ht="23" customHeight="1">
      <x:c r="A236" s="2"/>
      <x:c r="B236" s="2"/>
      <x:c r="C236" s="2"/>
      <x:c r="D236" s="2"/>
      <x:c r="E236" s="2"/>
      <x:c r="F236" s="2"/>
      <x:c r="G236" s="2"/>
      <x:c r="H236" s="2"/>
    </x:row>
    <x:row r="237" ht="23" customHeight="1">
      <x:c r="A237" s="2"/>
      <x:c r="B237" s="2"/>
      <x:c r="C237" s="2"/>
      <x:c r="D237" s="2"/>
      <x:c r="E237" s="2"/>
      <x:c r="F237" s="2"/>
      <x:c r="G237" s="2"/>
      <x:c r="H237" s="2"/>
    </x:row>
    <x:row r="238" ht="23" customHeight="1">
      <x:c r="A238" s="2"/>
      <x:c r="B238" s="2"/>
      <x:c r="C238" s="2"/>
      <x:c r="D238" s="2"/>
      <x:c r="E238" s="2"/>
      <x:c r="F238" s="2"/>
      <x:c r="G238" s="2"/>
      <x:c r="H238" s="2"/>
    </x:row>
    <x:row r="239" ht="23" customHeight="1">
      <x:c r="A239" s="2"/>
      <x:c r="B239" s="2"/>
      <x:c r="C239" s="2"/>
      <x:c r="D239" s="2"/>
      <x:c r="E239" s="2"/>
      <x:c r="F239" s="2"/>
      <x:c r="G239" s="2"/>
      <x:c r="H239" s="2"/>
    </x:row>
    <x:row r="240" ht="23" customHeight="1">
      <x:c r="A240" s="2"/>
      <x:c r="B240" s="2"/>
      <x:c r="C240" s="2"/>
      <x:c r="D240" s="2"/>
      <x:c r="E240" s="2"/>
      <x:c r="F240" s="2"/>
      <x:c r="G240" s="2"/>
      <x:c r="H240" s="2"/>
    </x:row>
    <x:row r="241" ht="23" customHeight="1">
      <x:c r="A241" s="2"/>
      <x:c r="B241" s="2"/>
      <x:c r="C241" s="2"/>
      <x:c r="D241" s="2"/>
      <x:c r="E241" s="2"/>
      <x:c r="F241" s="2"/>
      <x:c r="G241" s="2"/>
      <x:c r="H241" s="2"/>
    </x:row>
    <x:row r="242" ht="23" customHeight="1">
      <x:c r="A242" s="2"/>
      <x:c r="B242" s="2"/>
      <x:c r="C242" s="2"/>
      <x:c r="D242" s="2"/>
      <x:c r="E242" s="2"/>
      <x:c r="F242" s="2"/>
      <x:c r="G242" s="2"/>
      <x:c r="H242" s="2"/>
    </x:row>
    <x:row r="243" ht="23" customHeight="1">
      <x:c r="A243" s="2"/>
      <x:c r="B243" s="2"/>
      <x:c r="C243" s="2"/>
      <x:c r="D243" s="2"/>
      <x:c r="E243" s="2"/>
      <x:c r="F243" s="2"/>
      <x:c r="G243" s="2"/>
      <x:c r="H243" s="2"/>
    </x:row>
    <x:row r="244" ht="23" customHeight="1">
      <x:c r="A244" s="2"/>
      <x:c r="B244" s="2"/>
      <x:c r="C244" s="2"/>
      <x:c r="D244" s="2"/>
      <x:c r="E244" s="2"/>
      <x:c r="F244" s="2"/>
      <x:c r="G244" s="2"/>
      <x:c r="H244" s="2"/>
    </x:row>
    <x:row r="245" ht="23" customHeight="1">
      <x:c r="A245" s="2"/>
      <x:c r="B245" s="2"/>
      <x:c r="C245" s="2"/>
      <x:c r="D245" s="2"/>
      <x:c r="E245" s="2"/>
      <x:c r="F245" s="2"/>
      <x:c r="G245" s="2"/>
      <x:c r="H245" s="2"/>
    </x:row>
    <x:row r="246" ht="23" customHeight="1">
      <x:c r="A246" s="2"/>
      <x:c r="B246" s="2"/>
      <x:c r="C246" s="2"/>
      <x:c r="D246" s="2"/>
      <x:c r="E246" s="2"/>
      <x:c r="F246" s="2"/>
      <x:c r="G246" s="2"/>
      <x:c r="H246" s="2"/>
    </x:row>
    <x:row r="247" ht="23" customHeight="1">
      <x:c r="A247" s="2"/>
      <x:c r="B247" s="2"/>
      <x:c r="C247" s="2"/>
      <x:c r="D247" s="2"/>
      <x:c r="E247" s="2"/>
      <x:c r="F247" s="2"/>
      <x:c r="G247" s="2"/>
      <x:c r="H247" s="2"/>
    </x:row>
    <x:row r="248" ht="23" customHeight="1">
      <x:c r="A248" s="2"/>
      <x:c r="B248" s="2"/>
      <x:c r="C248" s="2"/>
      <x:c r="D248" s="2"/>
      <x:c r="E248" s="2"/>
      <x:c r="F248" s="2"/>
      <x:c r="G248" s="2"/>
      <x:c r="H248" s="2"/>
    </x:row>
    <x:row r="249" ht="23" customHeight="1">
      <x:c r="A249" s="2"/>
      <x:c r="B249" s="2"/>
      <x:c r="C249" s="2"/>
      <x:c r="D249" s="2"/>
      <x:c r="E249" s="2"/>
      <x:c r="F249" s="2"/>
      <x:c r="G249" s="2"/>
      <x:c r="H249" s="2"/>
    </x:row>
    <x:row r="250" ht="23" customHeight="1">
      <x:c r="A250" s="2"/>
      <x:c r="B250" s="2"/>
      <x:c r="C250" s="2"/>
      <x:c r="D250" s="2"/>
      <x:c r="E250" s="2"/>
      <x:c r="F250" s="2"/>
      <x:c r="G250" s="2"/>
      <x:c r="H250" s="2"/>
    </x:row>
    <x:row r="251" ht="23" customHeight="1">
      <x:c r="A251" s="2"/>
      <x:c r="B251" s="2"/>
      <x:c r="C251" s="2"/>
      <x:c r="D251" s="2"/>
      <x:c r="E251" s="2"/>
      <x:c r="F251" s="2"/>
      <x:c r="G251" s="2"/>
      <x:c r="H251" s="2"/>
    </x:row>
    <x:row r="252" ht="23" customHeight="1">
      <x:c r="A252" s="2"/>
      <x:c r="B252" s="2"/>
      <x:c r="C252" s="2"/>
      <x:c r="D252" s="2"/>
      <x:c r="E252" s="2"/>
      <x:c r="F252" s="2"/>
      <x:c r="G252" s="2"/>
      <x:c r="H252" s="2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</x:row>
    <x:row r="254" ht="23" customHeight="1">
      <x:c r="A254" s="2"/>
      <x:c r="B254" s="2"/>
      <x:c r="C254" s="2"/>
      <x:c r="D254" s="2"/>
      <x:c r="E254" s="2"/>
      <x:c r="F254" s="2"/>
      <x:c r="G254" s="2"/>
      <x:c r="H254" s="2"/>
    </x:row>
    <x:row r="255" ht="23" customHeight="1">
      <x:c r="A255" s="2"/>
      <x:c r="B255" s="2"/>
      <x:c r="C255" s="2"/>
      <x:c r="D255" s="2"/>
      <x:c r="E255" s="2"/>
      <x:c r="F255" s="2"/>
      <x:c r="G255" s="2"/>
      <x:c r="H255" s="2"/>
    </x:row>
    <x:row r="256" ht="23" customHeight="1">
      <x:c r="A256" s="2"/>
      <x:c r="B256" s="2"/>
      <x:c r="C256" s="2"/>
      <x:c r="D256" s="2"/>
      <x:c r="E256" s="2"/>
      <x:c r="F256" s="2"/>
      <x:c r="G256" s="2"/>
      <x:c r="H256" s="2"/>
    </x:row>
    <x:row r="257" ht="23" customHeight="1">
      <x:c r="A257" s="2"/>
      <x:c r="B257" s="2"/>
      <x:c r="C257" s="2"/>
      <x:c r="D257" s="2"/>
      <x:c r="E257" s="2"/>
      <x:c r="F257" s="2"/>
      <x:c r="G257" s="2"/>
      <x:c r="H257" s="2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</x:row>
    <x:row r="259" ht="23" customHeight="1">
      <x:c r="A259" s="2"/>
      <x:c r="B259" s="2"/>
      <x:c r="C259" s="2"/>
      <x:c r="D259" s="2"/>
      <x:c r="E259" s="2"/>
      <x:c r="F259" s="2"/>
      <x:c r="G259" s="2"/>
      <x:c r="H259" s="2"/>
    </x:row>
    <x:row r="260" ht="23" customHeight="1">
      <x:c r="A260" s="2"/>
      <x:c r="B260" s="2"/>
      <x:c r="C260" s="2"/>
      <x:c r="D260" s="2"/>
      <x:c r="E260" s="2"/>
      <x:c r="F260" s="2"/>
      <x:c r="G260" s="2"/>
      <x:c r="H260" s="2"/>
    </x:row>
    <x:row r="261" ht="23" customHeight="1">
      <x:c r="A261" s="2"/>
      <x:c r="B261" s="2"/>
      <x:c r="C261" s="2"/>
      <x:c r="D261" s="2"/>
      <x:c r="E261" s="2"/>
      <x:c r="F261" s="2"/>
      <x:c r="G261" s="2"/>
      <x:c r="H261" s="2"/>
    </x:row>
    <x:row r="262" ht="23" customHeight="1">
      <x:c r="A262" s="2"/>
      <x:c r="B262" s="2"/>
      <x:c r="C262" s="2"/>
      <x:c r="D262" s="2"/>
      <x:c r="E262" s="2"/>
      <x:c r="F262" s="2"/>
      <x:c r="G262" s="2"/>
      <x:c r="H262" s="2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</x:row>
    <x:row r="264" ht="23" customHeight="1">
      <x:c r="A264" s="2"/>
      <x:c r="B264" s="2"/>
      <x:c r="C264" s="2"/>
      <x:c r="D264" s="2"/>
      <x:c r="E264" s="2"/>
      <x:c r="F264" s="2"/>
      <x:c r="G264" s="2"/>
      <x:c r="H264" s="2"/>
    </x:row>
    <x:row r="265" ht="23" customHeight="1">
      <x:c r="A265" s="2"/>
      <x:c r="B265" s="2"/>
      <x:c r="C265" s="2"/>
      <x:c r="D265" s="2"/>
      <x:c r="E265" s="2"/>
      <x:c r="F265" s="2"/>
      <x:c r="G265" s="2"/>
      <x:c r="H265" s="2"/>
    </x:row>
    <x:row r="266" ht="23" customHeight="1">
      <x:c r="A266" s="2"/>
      <x:c r="B266" s="2"/>
      <x:c r="C266" s="2"/>
      <x:c r="D266" s="2"/>
      <x:c r="E266" s="2"/>
      <x:c r="F266" s="2"/>
      <x:c r="G266" s="2"/>
      <x:c r="H266" s="2"/>
    </x:row>
    <x:row r="267" ht="23" customHeight="1">
      <x:c r="A267" s="2"/>
      <x:c r="B267" s="2"/>
      <x:c r="C267" s="2"/>
      <x:c r="D267" s="2"/>
      <x:c r="E267" s="2"/>
      <x:c r="F267" s="2"/>
      <x:c r="G267" s="2"/>
      <x:c r="H267" s="2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</x:row>
    <x:row r="269" ht="23" customHeight="1">
      <x:c r="A269" s="2"/>
      <x:c r="B269" s="2"/>
      <x:c r="C269" s="2"/>
      <x:c r="D269" s="2"/>
      <x:c r="E269" s="2"/>
      <x:c r="F269" s="2"/>
      <x:c r="G269" s="2"/>
      <x:c r="H269" s="2"/>
    </x:row>
    <x:row r="270" ht="23" customHeight="1">
      <x:c r="A270" s="2"/>
      <x:c r="B270" s="2"/>
      <x:c r="C270" s="2"/>
      <x:c r="D270" s="2"/>
      <x:c r="E270" s="2"/>
      <x:c r="F270" s="2"/>
      <x:c r="G270" s="2"/>
      <x:c r="H270" s="2"/>
    </x:row>
    <x:row r="271" ht="23" customHeight="1">
      <x:c r="A271" s="2"/>
      <x:c r="B271" s="2"/>
      <x:c r="C271" s="2"/>
      <x:c r="D271" s="2"/>
      <x:c r="E271" s="2"/>
      <x:c r="F271" s="2"/>
      <x:c r="G271" s="2"/>
      <x:c r="H271" s="2"/>
    </x:row>
    <x:row r="272" ht="23" customHeight="1">
      <x:c r="A272" s="2"/>
      <x:c r="B272" s="2"/>
      <x:c r="C272" s="2"/>
      <x:c r="D272" s="2"/>
      <x:c r="E272" s="2"/>
      <x:c r="F272" s="2"/>
      <x:c r="G272" s="2"/>
      <x:c r="H272" s="2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</x:row>
    <x:row r="274" ht="23" customHeight="1">
      <x:c r="A274" s="2"/>
      <x:c r="B274" s="2"/>
      <x:c r="C274" s="2"/>
      <x:c r="D274" s="2"/>
      <x:c r="E274" s="2"/>
      <x:c r="F274" s="2"/>
      <x:c r="G274" s="2"/>
      <x:c r="H274" s="2"/>
    </x:row>
    <x:row r="275" ht="23" customHeight="1">
      <x:c r="A275" s="2"/>
      <x:c r="B275" s="2"/>
      <x:c r="C275" s="2"/>
      <x:c r="D275" s="2"/>
      <x:c r="E275" s="2"/>
      <x:c r="F275" s="2"/>
      <x:c r="G275" s="2"/>
      <x:c r="H275" s="2"/>
    </x:row>
    <x:row r="276" ht="23" customHeight="1">
      <x:c r="A276" s="2"/>
      <x:c r="B276" s="2"/>
      <x:c r="C276" s="2"/>
      <x:c r="D276" s="2"/>
      <x:c r="E276" s="2"/>
      <x:c r="F276" s="2"/>
      <x:c r="G276" s="2"/>
      <x:c r="H276" s="2"/>
    </x:row>
    <x:row r="277" ht="23" customHeight="1">
      <x:c r="A277" s="2"/>
      <x:c r="B277" s="2"/>
      <x:c r="C277" s="2"/>
      <x:c r="D277" s="2"/>
      <x:c r="E277" s="2"/>
      <x:c r="F277" s="2"/>
      <x:c r="G277" s="2"/>
      <x:c r="H277" s="2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</x:row>
    <x:row r="301" ht="23" customHeight="1">
      <x:c r="A301" s="2"/>
      <x:c r="B301" s="2"/>
      <x:c r="C301" s="2"/>
      <x:c r="D301" s="2"/>
      <x:c r="E301" s="2"/>
      <x:c r="F301" s="2"/>
      <x:c r="G301" s="2"/>
      <x:c r="H301" s="2"/>
    </x:row>
    <x:row r="302" ht="23" customHeight="1">
      <x:c r="A302" s="2"/>
      <x:c r="B302" s="2"/>
      <x:c r="C302" s="2"/>
      <x:c r="D302" s="2"/>
      <x:c r="E302" s="2"/>
      <x:c r="F302" s="2"/>
      <x:c r="G302" s="2"/>
      <x:c r="H302" s="2"/>
    </x:row>
    <x:row r="303" ht="23" customHeight="1">
      <x:c r="A303" s="2"/>
      <x:c r="B303" s="2"/>
      <x:c r="C303" s="2"/>
      <x:c r="D303" s="2"/>
      <x:c r="E303" s="2"/>
      <x:c r="F303" s="2"/>
      <x:c r="G303" s="2"/>
      <x:c r="H303" s="2"/>
    </x:row>
    <x:row r="304" ht="23" customHeight="1">
      <x:c r="A304" s="2"/>
      <x:c r="B304" s="2"/>
      <x:c r="C304" s="2"/>
      <x:c r="D304" s="2"/>
      <x:c r="E304" s="2"/>
      <x:c r="F304" s="2"/>
      <x:c r="G304" s="2"/>
      <x:c r="H304" s="2"/>
    </x:row>
    <x:row r="305" ht="23" customHeight="1">
      <x:c r="A305" s="2"/>
      <x:c r="B305" s="2"/>
      <x:c r="C305" s="2"/>
      <x:c r="D305" s="2"/>
      <x:c r="E305" s="2"/>
      <x:c r="F305" s="2"/>
      <x:c r="G305" s="2"/>
      <x:c r="H305" s="2"/>
    </x:row>
    <x:row r="306" ht="23" customHeight="1">
      <x:c r="A306" s="2"/>
      <x:c r="B306" s="2"/>
      <x:c r="C306" s="2"/>
      <x:c r="D306" s="2"/>
      <x:c r="E306" s="2"/>
      <x:c r="F306" s="2"/>
      <x:c r="G306" s="2"/>
      <x:c r="H306" s="2"/>
    </x:row>
    <x:row r="307" ht="23" customHeight="1">
      <x:c r="A307" s="2"/>
      <x:c r="B307" s="2"/>
      <x:c r="C307" s="2"/>
      <x:c r="D307" s="2"/>
      <x:c r="E307" s="2"/>
      <x:c r="F307" s="2"/>
      <x:c r="G307" s="2"/>
      <x:c r="H307" s="2"/>
    </x:row>
    <x:row r="308" ht="23" customHeight="1">
      <x:c r="A308" s="2"/>
      <x:c r="B308" s="2"/>
      <x:c r="C308" s="2"/>
      <x:c r="D308" s="2"/>
      <x:c r="E308" s="2"/>
      <x:c r="F308" s="2"/>
      <x:c r="G308" s="2"/>
      <x:c r="H308" s="2"/>
    </x:row>
    <x:row r="309" ht="23" customHeight="1">
      <x:c r="A309" s="2"/>
      <x:c r="B309" s="2"/>
      <x:c r="C309" s="2"/>
      <x:c r="D309" s="2"/>
      <x:c r="E309" s="2"/>
      <x:c r="F309" s="2"/>
      <x:c r="G309" s="2"/>
      <x:c r="H309" s="2"/>
    </x:row>
    <x:row r="310" ht="23" customHeight="1">
      <x:c r="A310" s="2"/>
      <x:c r="B310" s="2"/>
      <x:c r="C310" s="2"/>
      <x:c r="D310" s="2"/>
      <x:c r="E310" s="2"/>
      <x:c r="F310" s="2"/>
      <x:c r="G310" s="2"/>
      <x:c r="H310" s="2"/>
    </x:row>
    <x:row r="311" ht="23" customHeight="1">
      <x:c r="A311" s="2"/>
      <x:c r="B311" s="2"/>
      <x:c r="C311" s="2"/>
      <x:c r="D311" s="2"/>
      <x:c r="E311" s="2"/>
      <x:c r="F311" s="2"/>
      <x:c r="G311" s="2"/>
      <x:c r="H311" s="2"/>
    </x:row>
    <x:row r="312" ht="23" customHeight="1">
      <x:c r="A312" s="2"/>
      <x:c r="B312" s="2"/>
      <x:c r="C312" s="2"/>
      <x:c r="D312" s="2"/>
      <x:c r="E312" s="2"/>
      <x:c r="F312" s="2"/>
      <x:c r="G312" s="2"/>
      <x:c r="H312" s="2"/>
    </x:row>
    <x:row r="313" ht="23" customHeight="1">
      <x:c r="A313" s="2"/>
      <x:c r="B313" s="2"/>
      <x:c r="C313" s="2"/>
      <x:c r="D313" s="2"/>
      <x:c r="E313" s="2"/>
      <x:c r="F313" s="2"/>
      <x:c r="G313" s="2"/>
      <x:c r="H313" s="2"/>
    </x:row>
    <x:row r="314" ht="23" customHeight="1">
      <x:c r="A314" s="2"/>
      <x:c r="B314" s="2"/>
      <x:c r="C314" s="2"/>
      <x:c r="D314" s="2"/>
      <x:c r="E314" s="2"/>
      <x:c r="F314" s="2"/>
      <x:c r="G314" s="2"/>
      <x:c r="H314" s="2"/>
    </x:row>
    <x:row r="315" ht="23" customHeight="1">
      <x:c r="A315" s="2"/>
      <x:c r="B315" s="2"/>
      <x:c r="C315" s="2"/>
      <x:c r="D315" s="2"/>
      <x:c r="E315" s="2"/>
      <x:c r="F315" s="2"/>
      <x:c r="G315" s="2"/>
      <x:c r="H315" s="2"/>
    </x:row>
    <x:row r="316" ht="23" customHeight="1">
      <x:c r="A316" s="2"/>
      <x:c r="B316" s="2"/>
      <x:c r="C316" s="2"/>
      <x:c r="D316" s="2"/>
      <x:c r="E316" s="2"/>
      <x:c r="F316" s="2"/>
      <x:c r="G316" s="2"/>
      <x:c r="H316" s="2"/>
    </x:row>
    <x:row r="317" ht="23" customHeight="1">
      <x:c r="A317" s="2"/>
      <x:c r="B317" s="2"/>
      <x:c r="C317" s="2"/>
      <x:c r="D317" s="2"/>
      <x:c r="E317" s="2"/>
      <x:c r="F317" s="2"/>
      <x:c r="G317" s="2"/>
      <x:c r="H317" s="2"/>
    </x:row>
    <x:row r="318" ht="23" customHeight="1">
      <x:c r="A318" s="2"/>
      <x:c r="B318" s="2"/>
      <x:c r="C318" s="2"/>
      <x:c r="D318" s="2"/>
      <x:c r="E318" s="2"/>
      <x:c r="F318" s="2"/>
      <x:c r="G318" s="2"/>
      <x:c r="H318" s="2"/>
    </x:row>
    <x:row r="319" ht="23" customHeight="1">
      <x:c r="A319" s="2"/>
      <x:c r="B319" s="2"/>
      <x:c r="C319" s="2"/>
      <x:c r="D319" s="2"/>
      <x:c r="E319" s="2"/>
      <x:c r="F319" s="2"/>
      <x:c r="G319" s="2"/>
      <x:c r="H319" s="2"/>
    </x:row>
    <x:row r="320" ht="23" customHeight="1">
      <x:c r="A320" s="2"/>
      <x:c r="B320" s="2"/>
      <x:c r="C320" s="2"/>
      <x:c r="D320" s="2"/>
      <x:c r="E320" s="2"/>
      <x:c r="F320" s="2"/>
      <x:c r="G320" s="2"/>
      <x:c r="H320" s="2"/>
    </x:row>
    <x:row r="321" ht="23" customHeight="1">
      <x:c r="A321" s="2"/>
      <x:c r="B321" s="2"/>
      <x:c r="C321" s="2"/>
      <x:c r="D321" s="2"/>
      <x:c r="E321" s="2"/>
      <x:c r="F321" s="2"/>
      <x:c r="G321" s="2"/>
      <x:c r="H321" s="2"/>
    </x:row>
    <x:row r="322" ht="23" customHeight="1">
      <x:c r="A322" s="2"/>
      <x:c r="B322" s="2"/>
      <x:c r="C322" s="2"/>
      <x:c r="D322" s="2"/>
      <x:c r="E322" s="2"/>
      <x:c r="F322" s="2"/>
      <x:c r="G322" s="2"/>
      <x:c r="H322" s="2"/>
    </x:row>
    <x:row r="323" ht="23" customHeight="1">
      <x:c r="A323" s="2"/>
      <x:c r="B323" s="2"/>
      <x:c r="C323" s="2"/>
      <x:c r="D323" s="2"/>
      <x:c r="E323" s="2"/>
      <x:c r="F323" s="2"/>
      <x:c r="G323" s="2"/>
      <x:c r="H323" s="2"/>
    </x:row>
    <x:row r="324" ht="23" customHeight="1">
      <x:c r="A324" s="2"/>
      <x:c r="B324" s="2"/>
      <x:c r="C324" s="2"/>
      <x:c r="D324" s="2"/>
      <x:c r="E324" s="2"/>
      <x:c r="F324" s="2"/>
      <x:c r="G324" s="2"/>
      <x:c r="H324" s="2"/>
    </x:row>
    <x:row r="325" ht="23" customHeight="1">
      <x:c r="A325" s="2"/>
      <x:c r="B325" s="2"/>
      <x:c r="C325" s="2"/>
      <x:c r="D325" s="2"/>
      <x:c r="E325" s="2"/>
      <x:c r="F325" s="2"/>
      <x:c r="G325" s="2"/>
      <x:c r="H325" s="2"/>
    </x:row>
    <x:row r="326" ht="23" customHeight="1">
      <x:c r="A326" s="2"/>
      <x:c r="B326" s="2"/>
      <x:c r="C326" s="2"/>
      <x:c r="D326" s="2"/>
      <x:c r="E326" s="2"/>
      <x:c r="F326" s="2"/>
      <x:c r="G326" s="2"/>
      <x:c r="H326" s="2"/>
    </x:row>
    <x:row r="327" ht="23" customHeight="1">
      <x:c r="A327" s="2"/>
      <x:c r="B327" s="2"/>
      <x:c r="C327" s="2"/>
      <x:c r="D327" s="2"/>
      <x:c r="E327" s="2"/>
      <x:c r="F327" s="2"/>
      <x:c r="G327" s="2"/>
      <x:c r="H327" s="2"/>
    </x:row>
    <x:row r="328" ht="23" customHeight="1">
      <x:c r="A328" s="2"/>
      <x:c r="B328" s="2"/>
      <x:c r="C328" s="2"/>
      <x:c r="D328" s="2"/>
      <x:c r="E328" s="2"/>
      <x:c r="F328" s="2"/>
      <x:c r="G328" s="2"/>
      <x:c r="H328" s="2"/>
    </x:row>
    <x:row r="329" ht="23" customHeight="1">
      <x:c r="A329" s="2"/>
      <x:c r="B329" s="2"/>
      <x:c r="C329" s="2"/>
      <x:c r="D329" s="2"/>
      <x:c r="E329" s="2"/>
      <x:c r="F329" s="2"/>
      <x:c r="G329" s="2"/>
      <x:c r="H329" s="2"/>
    </x:row>
    <x:row r="330" ht="23" customHeight="1">
      <x:c r="A330" s="2"/>
      <x:c r="B330" s="2"/>
      <x:c r="C330" s="2"/>
      <x:c r="D330" s="2"/>
      <x:c r="E330" s="2"/>
      <x:c r="F330" s="2"/>
      <x:c r="G330" s="2"/>
      <x:c r="H330" s="2"/>
    </x:row>
    <x:row r="331" ht="23" customHeight="1">
      <x:c r="A331" s="2"/>
      <x:c r="B331" s="2"/>
      <x:c r="C331" s="2"/>
      <x:c r="D331" s="2"/>
      <x:c r="E331" s="2"/>
      <x:c r="F331" s="2"/>
      <x:c r="G331" s="2"/>
      <x:c r="H331" s="2"/>
    </x:row>
    <x:row r="332" ht="23" customHeight="1">
      <x:c r="A332" s="2"/>
      <x:c r="B332" s="2"/>
      <x:c r="C332" s="2"/>
      <x:c r="D332" s="2"/>
      <x:c r="E332" s="2"/>
      <x:c r="F332" s="2"/>
      <x:c r="G332" s="2"/>
      <x:c r="H332" s="2"/>
    </x:row>
    <x:row r="333" ht="23" customHeight="1">
      <x:c r="A333" s="2"/>
      <x:c r="B333" s="2"/>
      <x:c r="C333" s="2"/>
      <x:c r="D333" s="2"/>
      <x:c r="E333" s="2"/>
      <x:c r="F333" s="2"/>
      <x:c r="G333" s="2"/>
      <x:c r="H333" s="2"/>
    </x:row>
    <x:row r="334" ht="23" customHeight="1">
      <x:c r="A334" s="2"/>
      <x:c r="B334" s="2"/>
      <x:c r="C334" s="2"/>
      <x:c r="D334" s="2"/>
      <x:c r="E334" s="2"/>
      <x:c r="F334" s="2"/>
      <x:c r="G334" s="2"/>
      <x:c r="H334" s="2"/>
    </x:row>
    <x:row r="335" ht="23" customHeight="1">
      <x:c r="A335" s="2"/>
      <x:c r="B335" s="2"/>
      <x:c r="C335" s="2"/>
      <x:c r="D335" s="2"/>
      <x:c r="E335" s="2"/>
      <x:c r="F335" s="2"/>
      <x:c r="G335" s="2"/>
      <x:c r="H335" s="2"/>
    </x:row>
    <x:row r="336" ht="23" customHeight="1">
      <x:c r="A336" s="2"/>
      <x:c r="B336" s="2"/>
      <x:c r="C336" s="2"/>
      <x:c r="D336" s="2"/>
      <x:c r="E336" s="2"/>
      <x:c r="F336" s="2"/>
      <x:c r="G336" s="2"/>
      <x:c r="H336" s="2"/>
    </x:row>
    <x:row r="337" ht="23" customHeight="1">
      <x:c r="A337" s="2"/>
      <x:c r="B337" s="2"/>
      <x:c r="C337" s="2"/>
      <x:c r="D337" s="2"/>
      <x:c r="E337" s="2"/>
      <x:c r="F337" s="2"/>
      <x:c r="G337" s="2"/>
      <x:c r="H337" s="2"/>
    </x:row>
    <x:row r="338" ht="23" customHeight="1">
      <x:c r="A338" s="2"/>
      <x:c r="B338" s="2"/>
      <x:c r="C338" s="2"/>
      <x:c r="D338" s="2"/>
      <x:c r="E338" s="2"/>
      <x:c r="F338" s="2"/>
      <x:c r="G338" s="2"/>
      <x:c r="H338" s="2"/>
    </x:row>
    <x:row r="339" ht="23" customHeight="1">
      <x:c r="A339" s="2"/>
      <x:c r="B339" s="2"/>
      <x:c r="C339" s="2"/>
      <x:c r="D339" s="2"/>
      <x:c r="E339" s="2"/>
      <x:c r="F339" s="2"/>
      <x:c r="G339" s="2"/>
      <x:c r="H339" s="2"/>
    </x:row>
    <x:row r="340" ht="23" customHeight="1">
      <x:c r="A340" s="2"/>
      <x:c r="B340" s="2"/>
      <x:c r="C340" s="2"/>
      <x:c r="D340" s="2"/>
      <x:c r="E340" s="2"/>
      <x:c r="F340" s="2"/>
      <x:c r="G340" s="2"/>
      <x:c r="H340" s="2"/>
    </x:row>
    <x:row r="341" ht="23" customHeight="1">
      <x:c r="A341" s="2"/>
      <x:c r="B341" s="2"/>
      <x:c r="C341" s="2"/>
      <x:c r="D341" s="2"/>
      <x:c r="E341" s="2"/>
      <x:c r="F341" s="2"/>
      <x:c r="G341" s="2"/>
      <x:c r="H341" s="2"/>
    </x:row>
    <x:row r="342" ht="23" customHeight="1">
      <x:c r="A342" s="2"/>
      <x:c r="B342" s="2"/>
      <x:c r="C342" s="2"/>
      <x:c r="D342" s="2"/>
      <x:c r="E342" s="2"/>
      <x:c r="F342" s="2"/>
      <x:c r="G342" s="2"/>
      <x:c r="H342" s="2"/>
    </x:row>
    <x:row r="343" ht="23" customHeight="1">
      <x:c r="A343" s="2"/>
      <x:c r="B343" s="2"/>
      <x:c r="C343" s="2"/>
      <x:c r="D343" s="2"/>
      <x:c r="E343" s="2"/>
      <x:c r="F343" s="2"/>
      <x:c r="G343" s="2"/>
      <x:c r="H343" s="2"/>
    </x:row>
    <x:row r="344" ht="23" customHeight="1">
      <x:c r="A344" s="2"/>
      <x:c r="B344" s="2"/>
      <x:c r="C344" s="2"/>
      <x:c r="D344" s="2"/>
      <x:c r="E344" s="2"/>
      <x:c r="F344" s="2"/>
      <x:c r="G344" s="2"/>
      <x:c r="H344" s="2"/>
    </x:row>
    <x:row r="345" ht="23" customHeight="1">
      <x:c r="A345" s="2"/>
      <x:c r="B345" s="2"/>
      <x:c r="C345" s="2"/>
      <x:c r="D345" s="2"/>
      <x:c r="E345" s="2"/>
      <x:c r="F345" s="2"/>
      <x:c r="G345" s="2"/>
      <x:c r="H345" s="2"/>
    </x:row>
    <x:row r="346" ht="23" customHeight="1">
      <x:c r="A346" s="2"/>
      <x:c r="B346" s="2"/>
      <x:c r="C346" s="2"/>
      <x:c r="D346" s="2"/>
      <x:c r="E346" s="2"/>
      <x:c r="F346" s="2"/>
      <x:c r="G346" s="2"/>
      <x:c r="H346" s="2"/>
    </x:row>
    <x:row r="347" ht="23" customHeight="1">
      <x:c r="A347" s="2"/>
      <x:c r="B347" s="2"/>
      <x:c r="C347" s="2"/>
      <x:c r="D347" s="2"/>
      <x:c r="E347" s="2"/>
      <x:c r="F347" s="2"/>
      <x:c r="G347" s="2"/>
      <x:c r="H347" s="2"/>
    </x:row>
    <x:row r="348" ht="23" customHeight="1">
      <x:c r="A348" s="2"/>
      <x:c r="B348" s="2"/>
      <x:c r="C348" s="2"/>
      <x:c r="D348" s="2"/>
      <x:c r="E348" s="2"/>
      <x:c r="F348" s="2"/>
      <x:c r="G348" s="2"/>
      <x:c r="H348" s="2"/>
    </x:row>
    <x:row r="349" ht="23" customHeight="1">
      <x:c r="A349" s="2"/>
      <x:c r="B349" s="2"/>
      <x:c r="C349" s="2"/>
      <x:c r="D349" s="2"/>
      <x:c r="E349" s="2"/>
      <x:c r="F349" s="2"/>
      <x:c r="G349" s="2"/>
      <x:c r="H349" s="2"/>
    </x:row>
    <x:row r="350" ht="23" customHeight="1">
      <x:c r="A350" s="2"/>
      <x:c r="B350" s="2"/>
      <x:c r="C350" s="2"/>
      <x:c r="D350" s="2"/>
      <x:c r="E350" s="2"/>
      <x:c r="F350" s="2"/>
      <x:c r="G350" s="2"/>
      <x:c r="H350" s="2"/>
    </x:row>
    <x:row r="351" ht="23" customHeight="1">
      <x:c r="A351" s="2"/>
      <x:c r="B351" s="2"/>
      <x:c r="C351" s="2"/>
      <x:c r="D351" s="2"/>
      <x:c r="E351" s="2"/>
      <x:c r="F351" s="2"/>
      <x:c r="G351" s="2"/>
      <x:c r="H351" s="2"/>
    </x:row>
    <x:row r="352" ht="23" customHeight="1">
      <x:c r="A352" s="2"/>
      <x:c r="B352" s="2"/>
      <x:c r="C352" s="2"/>
      <x:c r="D352" s="2"/>
      <x:c r="E352" s="2"/>
      <x:c r="F352" s="2"/>
      <x:c r="G352" s="2"/>
      <x:c r="H352" s="2"/>
    </x:row>
    <x:row r="353" ht="23" customHeight="1">
      <x:c r="A353" s="2"/>
      <x:c r="B353" s="2"/>
      <x:c r="C353" s="2"/>
      <x:c r="D353" s="2"/>
      <x:c r="E353" s="2"/>
      <x:c r="F353" s="2"/>
      <x:c r="G353" s="2"/>
      <x:c r="H353" s="2"/>
    </x:row>
    <x:row r="354" ht="23" customHeight="1">
      <x:c r="A354" s="2"/>
      <x:c r="B354" s="2"/>
      <x:c r="C354" s="2"/>
      <x:c r="D354" s="2"/>
      <x:c r="E354" s="2"/>
      <x:c r="F354" s="2"/>
      <x:c r="G354" s="2"/>
      <x:c r="H354" s="2"/>
    </x:row>
    <x:row r="355" ht="23" customHeight="1">
      <x:c r="A355" s="2"/>
      <x:c r="B355" s="2"/>
      <x:c r="C355" s="2"/>
      <x:c r="D355" s="2"/>
      <x:c r="E355" s="2"/>
      <x:c r="F355" s="2"/>
      <x:c r="G355" s="2"/>
      <x:c r="H355" s="2"/>
    </x:row>
    <x:row r="356" ht="23" customHeight="1">
      <x:c r="A356" s="2"/>
      <x:c r="B356" s="2"/>
      <x:c r="C356" s="2"/>
      <x:c r="D356" s="2"/>
      <x:c r="E356" s="2"/>
      <x:c r="F356" s="2"/>
      <x:c r="G356" s="2"/>
      <x:c r="H356" s="2"/>
    </x:row>
    <x:row r="357" ht="23" customHeight="1">
      <x:c r="A357" s="2"/>
      <x:c r="B357" s="2"/>
      <x:c r="C357" s="2"/>
      <x:c r="D357" s="2"/>
      <x:c r="E357" s="2"/>
      <x:c r="F357" s="2"/>
      <x:c r="G357" s="2"/>
      <x:c r="H357" s="2"/>
    </x:row>
    <x:row r="358" ht="23" customHeight="1">
      <x:c r="A358" s="2"/>
      <x:c r="B358" s="2"/>
      <x:c r="C358" s="2"/>
      <x:c r="D358" s="2"/>
      <x:c r="E358" s="2"/>
      <x:c r="F358" s="2"/>
      <x:c r="G358" s="2"/>
      <x:c r="H358" s="2"/>
    </x:row>
    <x:row r="359" ht="23" customHeight="1">
      <x:c r="A359" s="2"/>
      <x:c r="B359" s="2"/>
      <x:c r="C359" s="2"/>
      <x:c r="D359" s="2"/>
      <x:c r="E359" s="2"/>
      <x:c r="F359" s="2"/>
      <x:c r="G359" s="2"/>
      <x:c r="H359" s="2"/>
    </x:row>
    <x:row r="360" ht="23" customHeight="1">
      <x:c r="A360" s="2"/>
      <x:c r="B360" s="2"/>
      <x:c r="C360" s="2"/>
      <x:c r="D360" s="2"/>
      <x:c r="E360" s="2"/>
      <x:c r="F360" s="2"/>
      <x:c r="G360" s="2"/>
      <x:c r="H360" s="2"/>
    </x:row>
    <x:row r="361" ht="23" customHeight="1">
      <x:c r="A361" s="2"/>
      <x:c r="B361" s="2"/>
      <x:c r="C361" s="2"/>
      <x:c r="D361" s="2"/>
      <x:c r="E361" s="2"/>
      <x:c r="F361" s="2"/>
      <x:c r="G361" s="2"/>
      <x:c r="H361" s="2"/>
    </x:row>
    <x:row r="362" ht="23" customHeight="1">
      <x:c r="A362" s="2"/>
      <x:c r="B362" s="2"/>
      <x:c r="C362" s="2"/>
      <x:c r="D362" s="2"/>
      <x:c r="E362" s="2"/>
      <x:c r="F362" s="2"/>
      <x:c r="G362" s="2"/>
      <x:c r="H362" s="2"/>
    </x:row>
    <x:row r="363" ht="23" customHeight="1">
      <x:c r="A363" s="2"/>
      <x:c r="B363" s="2"/>
      <x:c r="C363" s="2"/>
      <x:c r="D363" s="2"/>
      <x:c r="E363" s="2"/>
      <x:c r="F363" s="2"/>
      <x:c r="G363" s="2"/>
      <x:c r="H363" s="2"/>
    </x:row>
    <x:row r="364" ht="23" customHeight="1">
      <x:c r="A364" s="2"/>
      <x:c r="B364" s="2"/>
      <x:c r="C364" s="2"/>
      <x:c r="D364" s="2"/>
      <x:c r="E364" s="2"/>
      <x:c r="F364" s="2"/>
      <x:c r="G364" s="2"/>
      <x:c r="H364" s="2"/>
    </x:row>
    <x:row r="365" ht="23" customHeight="1">
      <x:c r="A365" s="2"/>
      <x:c r="B365" s="2"/>
      <x:c r="C365" s="2"/>
      <x:c r="D365" s="2"/>
      <x:c r="E365" s="2"/>
      <x:c r="F365" s="2"/>
      <x:c r="G365" s="2"/>
      <x:c r="H365" s="2"/>
    </x:row>
    <x:row r="366" ht="23" customHeight="1">
      <x:c r="A366" s="2"/>
      <x:c r="B366" s="2"/>
      <x:c r="C366" s="2"/>
      <x:c r="D366" s="2"/>
      <x:c r="E366" s="2"/>
      <x:c r="F366" s="2"/>
      <x:c r="G366" s="2"/>
      <x:c r="H366" s="2"/>
    </x:row>
    <x:row r="367" ht="23" customHeight="1">
      <x:c r="A367" s="2"/>
      <x:c r="B367" s="2"/>
      <x:c r="C367" s="2"/>
      <x:c r="D367" s="2"/>
      <x:c r="E367" s="2"/>
      <x:c r="F367" s="2"/>
      <x:c r="G367" s="2"/>
      <x:c r="H367" s="2"/>
    </x:row>
    <x:row r="368" ht="23" customHeight="1">
      <x:c r="A368" s="2"/>
      <x:c r="B368" s="2"/>
      <x:c r="C368" s="2"/>
      <x:c r="D368" s="2"/>
      <x:c r="E368" s="2"/>
      <x:c r="F368" s="2"/>
      <x:c r="G368" s="2"/>
      <x:c r="H368" s="2"/>
    </x:row>
    <x:row r="369" ht="23" customHeight="1">
      <x:c r="A369" s="2"/>
      <x:c r="B369" s="2"/>
      <x:c r="C369" s="2"/>
      <x:c r="D369" s="2"/>
      <x:c r="E369" s="2"/>
      <x:c r="F369" s="2"/>
      <x:c r="G369" s="2"/>
      <x:c r="H369" s="2"/>
    </x:row>
    <x:row r="370" ht="23" customHeight="1">
      <x:c r="A370" s="2"/>
      <x:c r="B370" s="2"/>
      <x:c r="C370" s="2"/>
      <x:c r="D370" s="2"/>
      <x:c r="E370" s="2"/>
      <x:c r="F370" s="2"/>
      <x:c r="G370" s="2"/>
      <x:c r="H370" s="2"/>
    </x:row>
    <x:row r="371" ht="23" customHeight="1">
      <x:c r="A371" s="2"/>
      <x:c r="B371" s="2"/>
      <x:c r="C371" s="2"/>
      <x:c r="D371" s="2"/>
      <x:c r="E371" s="2"/>
      <x:c r="F371" s="2"/>
      <x:c r="G371" s="2"/>
      <x:c r="H371" s="2"/>
    </x:row>
    <x:row r="372" ht="23" customHeight="1">
      <x:c r="A372" s="2"/>
      <x:c r="B372" s="2"/>
      <x:c r="C372" s="2"/>
      <x:c r="D372" s="2"/>
      <x:c r="E372" s="2"/>
      <x:c r="F372" s="2"/>
      <x:c r="G372" s="2"/>
      <x:c r="H372" s="2"/>
    </x:row>
    <x:row r="373" ht="23" customHeight="1">
      <x:c r="A373" s="2"/>
      <x:c r="B373" s="2"/>
      <x:c r="C373" s="2"/>
      <x:c r="D373" s="2"/>
      <x:c r="E373" s="2"/>
      <x:c r="F373" s="2"/>
      <x:c r="G373" s="2"/>
      <x:c r="H373" s="2"/>
    </x:row>
    <x:row r="374" ht="23" customHeight="1">
      <x:c r="A374" s="2"/>
      <x:c r="B374" s="2"/>
      <x:c r="C374" s="2"/>
      <x:c r="D374" s="2"/>
      <x:c r="E374" s="2"/>
      <x:c r="F374" s="2"/>
      <x:c r="G374" s="2"/>
      <x:c r="H374" s="2"/>
    </x:row>
    <x:row r="375" ht="23" customHeight="1">
      <x:c r="A375" s="2"/>
      <x:c r="B375" s="2"/>
      <x:c r="C375" s="2"/>
      <x:c r="D375" s="2"/>
      <x:c r="E375" s="2"/>
      <x:c r="F375" s="2"/>
      <x:c r="G375" s="2"/>
      <x:c r="H375" s="2"/>
    </x:row>
    <x:row r="376" ht="23" customHeight="1">
      <x:c r="A376" s="2"/>
      <x:c r="B376" s="2"/>
      <x:c r="C376" s="2"/>
      <x:c r="D376" s="2"/>
      <x:c r="E376" s="2"/>
      <x:c r="F376" s="2"/>
      <x:c r="G376" s="2"/>
      <x:c r="H376" s="2"/>
    </x:row>
    <x:row r="377" ht="23" customHeight="1">
      <x:c r="A377" s="2"/>
      <x:c r="B377" s="2"/>
      <x:c r="C377" s="2"/>
      <x:c r="D377" s="2"/>
      <x:c r="E377" s="2"/>
      <x:c r="F377" s="2"/>
      <x:c r="G377" s="2"/>
      <x:c r="H377" s="2"/>
    </x:row>
    <x:row r="378" ht="23" customHeight="1">
      <x:c r="A378" s="2"/>
      <x:c r="B378" s="2"/>
      <x:c r="C378" s="2"/>
      <x:c r="D378" s="2"/>
      <x:c r="E378" s="2"/>
      <x:c r="F378" s="2"/>
      <x:c r="G378" s="2"/>
      <x:c r="H378" s="2"/>
    </x:row>
    <x:row r="379" ht="23" customHeight="1">
      <x:c r="A379" s="2"/>
      <x:c r="B379" s="2"/>
      <x:c r="C379" s="2"/>
      <x:c r="D379" s="2"/>
      <x:c r="E379" s="2"/>
      <x:c r="F379" s="2"/>
      <x:c r="G379" s="2"/>
      <x:c r="H379" s="2"/>
    </x:row>
    <x:row r="380" ht="23" customHeight="1">
      <x:c r="A380" s="2"/>
      <x:c r="B380" s="2"/>
      <x:c r="C380" s="2"/>
      <x:c r="D380" s="2"/>
      <x:c r="E380" s="2"/>
      <x:c r="F380" s="2"/>
      <x:c r="G380" s="2"/>
      <x:c r="H380" s="2"/>
    </x:row>
    <x:row r="381" ht="23" customHeight="1">
      <x:c r="A381" s="2"/>
      <x:c r="B381" s="2"/>
      <x:c r="C381" s="2"/>
      <x:c r="D381" s="2"/>
      <x:c r="E381" s="2"/>
      <x:c r="F381" s="2"/>
      <x:c r="G381" s="2"/>
      <x:c r="H381" s="2"/>
    </x:row>
    <x:row r="382" ht="23" customHeight="1">
      <x:c r="A382" s="2"/>
      <x:c r="B382" s="2"/>
      <x:c r="C382" s="2"/>
      <x:c r="D382" s="2"/>
      <x:c r="E382" s="2"/>
      <x:c r="F382" s="2"/>
      <x:c r="G382" s="2"/>
      <x:c r="H382" s="2"/>
    </x:row>
    <x:row r="383" ht="23" customHeight="1">
      <x:c r="A383" s="2"/>
      <x:c r="B383" s="2"/>
      <x:c r="C383" s="2"/>
      <x:c r="D383" s="2"/>
      <x:c r="E383" s="2"/>
      <x:c r="F383" s="2"/>
      <x:c r="G383" s="2"/>
      <x:c r="H383" s="2"/>
    </x:row>
    <x:row r="384" ht="23" customHeight="1">
      <x:c r="A384" s="2"/>
      <x:c r="B384" s="2"/>
      <x:c r="C384" s="2"/>
      <x:c r="D384" s="2"/>
      <x:c r="E384" s="2"/>
      <x:c r="F384" s="2"/>
      <x:c r="G384" s="2"/>
      <x:c r="H384" s="2"/>
    </x:row>
    <x:row r="385" ht="23" customHeight="1">
      <x:c r="A385" s="2"/>
      <x:c r="B385" s="2"/>
      <x:c r="C385" s="2"/>
      <x:c r="D385" s="2"/>
      <x:c r="E385" s="2"/>
      <x:c r="F385" s="2"/>
      <x:c r="G385" s="2"/>
      <x:c r="H385" s="2"/>
    </x:row>
    <x:row r="386" ht="23" customHeight="1">
      <x:c r="A386" s="2"/>
      <x:c r="B386" s="2"/>
      <x:c r="C386" s="2"/>
      <x:c r="D386" s="2"/>
      <x:c r="E386" s="2"/>
      <x:c r="F386" s="2"/>
      <x:c r="G386" s="2"/>
      <x:c r="H386" s="2"/>
    </x:row>
    <x:row r="387" ht="23" customHeight="1">
      <x:c r="A387" s="2"/>
      <x:c r="B387" s="2"/>
      <x:c r="C387" s="2"/>
      <x:c r="D387" s="2"/>
      <x:c r="E387" s="2"/>
      <x:c r="F387" s="2"/>
      <x:c r="G387" s="2"/>
      <x:c r="H387" s="2"/>
    </x:row>
    <x:row r="388" ht="23" customHeight="1">
      <x:c r="A388" s="2"/>
      <x:c r="B388" s="2"/>
      <x:c r="C388" s="2"/>
      <x:c r="D388" s="2"/>
      <x:c r="E388" s="2"/>
      <x:c r="F388" s="2"/>
      <x:c r="G388" s="2"/>
      <x:c r="H388" s="2"/>
    </x:row>
    <x:row r="389" ht="23" customHeight="1">
      <x:c r="A389" s="2"/>
      <x:c r="B389" s="2"/>
      <x:c r="C389" s="2"/>
      <x:c r="D389" s="2"/>
      <x:c r="E389" s="2"/>
      <x:c r="F389" s="2"/>
      <x:c r="G389" s="2"/>
      <x:c r="H389" s="2"/>
    </x:row>
    <x:row r="390" ht="23" customHeight="1">
      <x:c r="A390" s="2"/>
      <x:c r="B390" s="2"/>
      <x:c r="C390" s="2"/>
      <x:c r="D390" s="2"/>
      <x:c r="E390" s="2"/>
      <x:c r="F390" s="2"/>
      <x:c r="G390" s="2"/>
      <x:c r="H390" s="2"/>
    </x:row>
    <x:row r="391" ht="23" customHeight="1">
      <x:c r="A391" s="2"/>
      <x:c r="B391" s="2"/>
      <x:c r="C391" s="2"/>
      <x:c r="D391" s="2"/>
      <x:c r="E391" s="2"/>
      <x:c r="F391" s="2"/>
      <x:c r="G391" s="2"/>
      <x:c r="H391" s="2"/>
    </x:row>
    <x:row r="392" ht="23" customHeight="1">
      <x:c r="A392" s="2"/>
      <x:c r="B392" s="2"/>
      <x:c r="C392" s="2"/>
      <x:c r="D392" s="2"/>
      <x:c r="E392" s="2"/>
      <x:c r="F392" s="2"/>
      <x:c r="G392" s="2"/>
      <x:c r="H392" s="2"/>
    </x:row>
    <x:row r="393" ht="23" customHeight="1">
      <x:c r="A393" s="2"/>
      <x:c r="B393" s="2"/>
      <x:c r="C393" s="2"/>
      <x:c r="D393" s="2"/>
      <x:c r="E393" s="2"/>
      <x:c r="F393" s="2"/>
      <x:c r="G393" s="2"/>
      <x:c r="H393" s="2"/>
    </x:row>
    <x:row r="394" ht="23" customHeight="1">
      <x:c r="A394" s="2"/>
      <x:c r="B394" s="2"/>
      <x:c r="C394" s="2"/>
      <x:c r="D394" s="2"/>
      <x:c r="E394" s="2"/>
      <x:c r="F394" s="2"/>
      <x:c r="G394" s="2"/>
      <x:c r="H394" s="2"/>
    </x:row>
    <x:row r="395" ht="23" customHeight="1">
      <x:c r="A395" s="2"/>
      <x:c r="B395" s="2"/>
      <x:c r="C395" s="2"/>
      <x:c r="D395" s="2"/>
      <x:c r="E395" s="2"/>
      <x:c r="F395" s="2"/>
      <x:c r="G395" s="2"/>
      <x:c r="H395" s="2"/>
    </x:row>
    <x:row r="396" ht="23" customHeight="1">
      <x:c r="A396" s="2"/>
      <x:c r="B396" s="2"/>
      <x:c r="C396" s="2"/>
      <x:c r="D396" s="2"/>
      <x:c r="E396" s="2"/>
      <x:c r="F396" s="2"/>
      <x:c r="G396" s="2"/>
      <x:c r="H396" s="2"/>
    </x:row>
    <x:row r="397" ht="23" customHeight="1">
      <x:c r="A397" s="2"/>
      <x:c r="B397" s="2"/>
      <x:c r="C397" s="2"/>
      <x:c r="D397" s="2"/>
      <x:c r="E397" s="2"/>
      <x:c r="F397" s="2"/>
      <x:c r="G397" s="2"/>
      <x:c r="H397" s="2"/>
    </x:row>
    <x:row r="398" ht="23" customHeight="1">
      <x:c r="A398" s="2"/>
      <x:c r="B398" s="2"/>
      <x:c r="C398" s="2"/>
      <x:c r="D398" s="2"/>
      <x:c r="E398" s="2"/>
      <x:c r="F398" s="2"/>
      <x:c r="G398" s="2"/>
      <x:c r="H398" s="2"/>
    </x:row>
    <x:row r="399" ht="23" customHeight="1">
      <x:c r="A399" s="2"/>
      <x:c r="B399" s="2"/>
      <x:c r="C399" s="2"/>
      <x:c r="D399" s="2"/>
      <x:c r="E399" s="2"/>
      <x:c r="F399" s="2"/>
      <x:c r="G399" s="2"/>
      <x:c r="H399" s="2"/>
    </x:row>
    <x:row r="400" ht="23" customHeight="1">
      <x:c r="A400" s="2"/>
      <x:c r="B400" s="2"/>
      <x:c r="C400" s="2"/>
      <x:c r="D400" s="2"/>
      <x:c r="E400" s="2"/>
      <x:c r="F400" s="2"/>
      <x:c r="G400" s="2"/>
      <x:c r="H400" s="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.670000076293945" hidden="0" customWidth="1"/>
    <x:col min="2" max="2" width="16.670000076293945" hidden="0" customWidth="1"/>
    <x:col min="3" max="3" width="18.329999923706055" hidden="0" customWidth="1"/>
    <x:col min="4" max="4" width="22.219999313354492" hidden="0" customWidth="1"/>
    <x:col min="5" max="5" width="45.560001373291016" hidden="0" customWidth="1"/>
    <x:col min="6" max="6" width="64.44000244140625" hidden="0" customWidth="1"/>
  </x:cols>
  <x:sheetData>
    <x:row r="1" ht="43" customHeight="1">
      <x:c r="A1" s="4" t="str">
        <x:v>价格、币种与交易证券</x:v>
      </x:c>
      <x:c r="B1" s="4"/>
      <x:c r="C1" s="4"/>
      <x:c r="D1" s="4"/>
      <x:c r="E1" s="4"/>
      <x:c r="F1" s="4"/>
    </x:row>
    <x:row r="2" ht="30" customHeight="1">
      <x:c r="A2" s="5" t="str">
        <x:v>全部使用 2026-09-04 数据；欧洲两只采用带时间戳的常规报价，未称正式日线收盘。</x:v>
      </x:c>
      <x:c r="B2" s="5"/>
      <x:c r="C2" s="5"/>
      <x:c r="D2" s="5"/>
      <x:c r="E2" s="5"/>
      <x:c r="F2" s="5"/>
    </x:row>
    <x:row r="3" ht="23" customHeight="1">
      <x:c r="A3" s="2"/>
      <x:c r="B3" s="2"/>
      <x:c r="C3" s="2"/>
      <x:c r="D3" s="2"/>
      <x:c r="E3" s="2"/>
      <x:c r="F3" s="2"/>
    </x:row>
    <x:row r="4" ht="38" customHeight="1">
      <x:c r="A4" s="8" t="str">
        <x:v>证券</x:v>
      </x:c>
      <x:c r="B4" s="8" t="str">
        <x:v>现价 / 汇率</x:v>
      </x:c>
      <x:c r="C4" s="8" t="str">
        <x:v>币种 / 单位</x:v>
      </x:c>
      <x:c r="D4" s="8" t="str">
        <x:v>价格类型</x:v>
      </x:c>
      <x:c r="E4" s="8" t="str">
        <x:v>时间戳（UTC）/ 口径</x:v>
      </x:c>
      <x:c r="F4" s="8" t="str">
        <x:v>来源 URL</x:v>
      </x:c>
    </x:row>
    <x:row r="5" ht="36" customHeight="1">
      <x:c r="A5" s="10" t="str">
        <x:v>TSM</x:v>
      </x:c>
      <x:c r="B5" s="25" t="n">
        <x:v>428.91</x:v>
      </x:c>
      <x:c r="C5" s="10" t="str">
        <x:v>USD</x:v>
      </x:c>
      <x:c r="D5" s="10" t="str">
        <x:v>Yahoo日线未调整收盘</x:v>
      </x:c>
      <x:c r="E5" s="24" t="n">
        <x:v>46269.83335648148</x:v>
      </x:c>
      <x:c r="F5" s="26" t="str">
        <x:v>https://query1.finance.yahoo.com/v8/finance/chart/TSM?interval=1d&amp;range=1mo</x:v>
      </x:c>
    </x:row>
    <x:row r="6" ht="36" customHeight="1">
      <x:c r="A6" s="15" t="str">
        <x:v>2330.TW</x:v>
      </x:c>
      <x:c r="B6" s="28" t="n">
        <x:v>2410</x:v>
      </x:c>
      <x:c r="C6" s="15" t="str">
        <x:v>TWD</x:v>
      </x:c>
      <x:c r="D6" s="15" t="str">
        <x:v>Yahoo日线未调整收盘</x:v>
      </x:c>
      <x:c r="E6" s="27" t="n">
        <x:v>46269.22930555556</x:v>
      </x:c>
      <x:c r="F6" s="29" t="str">
        <x:v>https://query1.finance.yahoo.com/v8/finance/chart/2330.TW?interval=1d&amp;range=1mo</x:v>
      </x:c>
    </x:row>
    <x:row r="7" ht="36" customHeight="1">
      <x:c r="A7" s="10" t="str">
        <x:v>000660.KS</x:v>
      </x:c>
      <x:c r="B7" s="25" t="n">
        <x:v>1647000</x:v>
      </x:c>
      <x:c r="C7" s="10" t="str">
        <x:v>KRW</x:v>
      </x:c>
      <x:c r="D7" s="10" t="str">
        <x:v>Yahoo日线未调整收盘</x:v>
      </x:c>
      <x:c r="E7" s="24" t="n">
        <x:v>46269.271099537036</x:v>
      </x:c>
      <x:c r="F7" s="26" t="str">
        <x:v>https://query1.finance.yahoo.com/v8/finance/chart/000660.KS?interval=1d&amp;range=1mo</x:v>
      </x:c>
    </x:row>
    <x:row r="8" ht="36" customHeight="1">
      <x:c r="A8" s="15" t="str">
        <x:v>MU</x:v>
      </x:c>
      <x:c r="B8" s="28" t="n">
        <x:v>1016.59</x:v>
      </x:c>
      <x:c r="C8" s="15" t="str">
        <x:v>USD</x:v>
      </x:c>
      <x:c r="D8" s="15" t="str">
        <x:v>Yahoo日线未调整收盘</x:v>
      </x:c>
      <x:c r="E8" s="27" t="n">
        <x:v>46269.83334490741</x:v>
      </x:c>
      <x:c r="F8" s="29" t="str">
        <x:v>https://query1.finance.yahoo.com/v8/finance/chart/MU?interval=1d&amp;range=1mo</x:v>
      </x:c>
    </x:row>
    <x:row r="9" ht="36" customHeight="1">
      <x:c r="A9" s="10" t="str">
        <x:v>ETN</x:v>
      </x:c>
      <x:c r="B9" s="25" t="n">
        <x:v>410.85</x:v>
      </x:c>
      <x:c r="C9" s="10" t="str">
        <x:v>USD</x:v>
      </x:c>
      <x:c r="D9" s="10" t="str">
        <x:v>Yahoo日线未调整收盘</x:v>
      </x:c>
      <x:c r="E9" s="24" t="n">
        <x:v>46269.83336805555</x:v>
      </x:c>
      <x:c r="F9" s="26" t="str">
        <x:v>https://query1.finance.yahoo.com/v8/finance/chart/ETN?interval=1d&amp;range=1mo</x:v>
      </x:c>
    </x:row>
    <x:row r="10" ht="36" customHeight="1">
      <x:c r="A10" s="15" t="str">
        <x:v>GEV</x:v>
      </x:c>
      <x:c r="B10" s="28" t="n">
        <x:v>941.95</x:v>
      </x:c>
      <x:c r="C10" s="15" t="str">
        <x:v>USD</x:v>
      </x:c>
      <x:c r="D10" s="15" t="str">
        <x:v>Yahoo日线未调整收盘</x:v>
      </x:c>
      <x:c r="E10" s="27" t="n">
        <x:v>46269.83335648148</x:v>
      </x:c>
      <x:c r="F10" s="29" t="str">
        <x:v>https://query1.finance.yahoo.com/v8/finance/chart/GEV?interval=1d&amp;range=1mo</x:v>
      </x:c>
    </x:row>
    <x:row r="11" ht="36" customHeight="1">
      <x:c r="A11" s="10" t="str">
        <x:v>VRT</x:v>
      </x:c>
      <x:c r="B11" s="25" t="n">
        <x:v>280.53</x:v>
      </x:c>
      <x:c r="C11" s="10" t="str">
        <x:v>USD</x:v>
      </x:c>
      <x:c r="D11" s="10" t="str">
        <x:v>Yahoo日线未调整收盘</x:v>
      </x:c>
      <x:c r="E11" s="24" t="n">
        <x:v>46269.83335648148</x:v>
      </x:c>
      <x:c r="F11" s="26" t="str">
        <x:v>https://query1.finance.yahoo.com/v8/finance/chart/VRT?interval=1d&amp;range=1mo</x:v>
      </x:c>
    </x:row>
    <x:row r="12" ht="36" customHeight="1">
      <x:c r="A12" s="15" t="str">
        <x:v>SU.PA</x:v>
      </x:c>
      <x:c r="B12" s="28" t="n">
        <x:v>288</x:v>
      </x:c>
      <x:c r="C12" s="15" t="str">
        <x:v>EUR</x:v>
      </x:c>
      <x:c r="D12" s="15" t="str">
        <x:v>常规报价（日线缺失）</x:v>
      </x:c>
      <x:c r="E12" s="27" t="n">
        <x:v>46269.65064814815</x:v>
      </x:c>
      <x:c r="F12" s="29" t="str">
        <x:v>https://query1.finance.yahoo.com/v8/finance/chart/SU.PA?interval=1d&amp;range=1mo</x:v>
      </x:c>
    </x:row>
    <x:row r="13" ht="36" customHeight="1">
      <x:c r="A13" s="10" t="str">
        <x:v>NVDA</x:v>
      </x:c>
      <x:c r="B13" s="25" t="n">
        <x:v>230.36</x:v>
      </x:c>
      <x:c r="C13" s="10" t="str">
        <x:v>USD</x:v>
      </x:c>
      <x:c r="D13" s="10" t="str">
        <x:v>Yahoo日线未调整收盘</x:v>
      </x:c>
      <x:c r="E13" s="24" t="n">
        <x:v>46269.83333333333</x:v>
      </x:c>
      <x:c r="F13" s="26" t="str">
        <x:v>https://query1.finance.yahoo.com/v8/finance/chart/NVDA?interval=1d&amp;range=1mo</x:v>
      </x:c>
    </x:row>
    <x:row r="14" ht="36" customHeight="1">
      <x:c r="A14" s="15" t="str">
        <x:v>AVGO</x:v>
      </x:c>
      <x:c r="B14" s="28" t="n">
        <x:v>357.9</x:v>
      </x:c>
      <x:c r="C14" s="15" t="str">
        <x:v>USD</x:v>
      </x:c>
      <x:c r="D14" s="15" t="str">
        <x:v>Yahoo日线未调整收盘</x:v>
      </x:c>
      <x:c r="E14" s="27" t="n">
        <x:v>46269.83334490741</x:v>
      </x:c>
      <x:c r="F14" s="29" t="str">
        <x:v>https://query1.finance.yahoo.com/v8/finance/chart/AVGO?interval=1d&amp;range=1mo</x:v>
      </x:c>
    </x:row>
    <x:row r="15" ht="36" customHeight="1">
      <x:c r="A15" s="10" t="str">
        <x:v>ANET</x:v>
      </x:c>
      <x:c r="B15" s="25" t="n">
        <x:v>193.78</x:v>
      </x:c>
      <x:c r="C15" s="10" t="str">
        <x:v>USD</x:v>
      </x:c>
      <x:c r="D15" s="10" t="str">
        <x:v>Yahoo日线未调整收盘</x:v>
      </x:c>
      <x:c r="E15" s="24" t="n">
        <x:v>46269.83336805555</x:v>
      </x:c>
      <x:c r="F15" s="26" t="str">
        <x:v>https://query1.finance.yahoo.com/v8/finance/chart/ANET?interval=1d&amp;range=1mo</x:v>
      </x:c>
    </x:row>
    <x:row r="16" ht="36" customHeight="1">
      <x:c r="A16" s="15" t="str">
        <x:v>ENR.DE</x:v>
      </x:c>
      <x:c r="B16" s="28" t="n">
        <x:v>146.52</x:v>
      </x:c>
      <x:c r="C16" s="15" t="str">
        <x:v>EUR</x:v>
      </x:c>
      <x:c r="D16" s="15" t="str">
        <x:v>常规报价（日线缺失）</x:v>
      </x:c>
      <x:c r="E16" s="27" t="n">
        <x:v>46269.649722222224</x:v>
      </x:c>
      <x:c r="F16" s="29" t="str">
        <x:v>https://query1.finance.yahoo.com/v8/finance/chart/ENR.DE?interval=1d&amp;range=1mo</x:v>
      </x:c>
    </x:row>
    <x:row r="17" ht="36" customHeight="1">
      <x:c r="A17" s="10" t="str">
        <x:v>CEG</x:v>
      </x:c>
      <x:c r="B17" s="25" t="n">
        <x:v>298.96</x:v>
      </x:c>
      <x:c r="C17" s="10" t="str">
        <x:v>USD</x:v>
      </x:c>
      <x:c r="D17" s="10" t="str">
        <x:v>Yahoo日线未调整收盘</x:v>
      </x:c>
      <x:c r="E17" s="24" t="n">
        <x:v>46269.5625</x:v>
      </x:c>
      <x:c r="F17" s="26" t="str">
        <x:v>https://query1.finance.yahoo.com/v8/finance/chart/CEG?interval=1d&amp;range=1mo</x:v>
      </x:c>
    </x:row>
    <x:row r="18" ht="36" customHeight="1">
      <x:c r="A18" s="15" t="str">
        <x:v>TLN</x:v>
      </x:c>
      <x:c r="B18" s="28" t="n">
        <x:v>317</x:v>
      </x:c>
      <x:c r="C18" s="15" t="str">
        <x:v>USD</x:v>
      </x:c>
      <x:c r="D18" s="15" t="str">
        <x:v>Yahoo日线未调整收盘</x:v>
      </x:c>
      <x:c r="E18" s="27" t="n">
        <x:v>46269.5625</x:v>
      </x:c>
      <x:c r="F18" s="29" t="str">
        <x:v>https://query1.finance.yahoo.com/v8/finance/chart/TLN?interval=1d&amp;range=1mo</x:v>
      </x:c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36" customHeight="1">
      <x:c r="A21" s="10" t="str">
        <x:v>TWD=X</x:v>
      </x:c>
      <x:c r="B21" s="30" t="n">
        <x:v>31.6954</x:v>
      </x:c>
      <x:c r="C21" s="10" t="str">
        <x:v>TWD per USD</x:v>
      </x:c>
      <x:c r="D21" s="10" t="str">
        <x:v>9/4 历史日线</x:v>
      </x:c>
      <x:c r="E21" s="10" t="str">
        <x:v>日线标签不表示精确收盘时刻</x:v>
      </x:c>
      <x:c r="F21" s="26" t="str">
        <x:v>https://query1.finance.yahoo.com/v8/finance/chart/TWD=X?interval=1d&amp;range=5d</x:v>
      </x:c>
    </x:row>
    <x:row r="22" ht="36" customHeight="1">
      <x:c r="A22" s="15" t="str">
        <x:v>KRW=X</x:v>
      </x:c>
      <x:c r="B22" s="31" t="n">
        <x:v>1355.410034</x:v>
      </x:c>
      <x:c r="C22" s="15" t="str">
        <x:v>KRW per USD</x:v>
      </x:c>
      <x:c r="D22" s="15" t="str">
        <x:v>9/4 历史日线</x:v>
      </x:c>
      <x:c r="E22" s="15" t="str">
        <x:v>日线标签不表示精确收盘时刻</x:v>
      </x:c>
      <x:c r="F22" s="29" t="str">
        <x:v>https://query1.finance.yahoo.com/v8/finance/chart/KRW=X?interval=1d&amp;range=5d</x:v>
      </x:c>
    </x:row>
    <x:row r="23" ht="36" customHeight="1">
      <x:c r="A23" s="10" t="str">
        <x:v>EURUSD=X</x:v>
      </x:c>
      <x:c r="B23" s="30" t="n">
        <x:v>1.162831</x:v>
      </x:c>
      <x:c r="C23" s="10" t="str">
        <x:v>USD per EUR</x:v>
      </x:c>
      <x:c r="D23" s="10" t="str">
        <x:v>9/4 历史日线</x:v>
      </x:c>
      <x:c r="E23" s="10" t="str">
        <x:v>日线标签不表示精确收盘时刻</x:v>
      </x:c>
      <x:c r="F23" s="26" t="str">
        <x:v>https://query1.finance.yahoo.com/v8/finance/chart/EURUSD=X?interval=1d&amp;range=5d</x:v>
      </x:c>
    </x:row>
    <x:row r="24" ht="23" customHeight="1">
      <x:c r="A24" s="2"/>
      <x:c r="B24" s="2"/>
      <x:c r="C24" s="2"/>
      <x:c r="D24" s="2"/>
      <x:c r="E24" s="2"/>
      <x:c r="F24" s="2"/>
    </x:row>
    <x:row r="25" ht="23" customHeight="1">
      <x:c r="A25" s="2"/>
      <x:c r="B25" s="2"/>
      <x:c r="C25" s="2"/>
      <x:c r="D25" s="2"/>
      <x:c r="E25" s="2"/>
      <x:c r="F25" s="2"/>
    </x:row>
    <x:row r="26" ht="36" customHeight="1">
      <x:c r="A26" s="15" t="str">
        <x:v>TSM 每 ADS 普通股数</x:v>
      </x:c>
      <x:c r="B26" s="15" t="n">
        <x:v>5</x:v>
      </x:c>
      <x:c r="C26" s="15" t="str">
        <x:v>股 / ADS</x:v>
      </x:c>
      <x:c r="D26" s="15" t="str">
        <x:v>公司 20-F</x:v>
      </x:c>
      <x:c r="E26" s="15" t="str">
        <x:v>转换比例</x:v>
      </x:c>
      <x:c r="F26" s="15" t="str">
        <x:v>F01</x:v>
      </x:c>
    </x:row>
    <x:row r="27" ht="36" customHeight="1">
      <x:c r="A27" s="10" t="str">
        <x:v>ADS 指示溢价</x:v>
      </x:c>
      <x:c r="B27" s="12" t="n">
        <x:f>B5*B21/(B6*B26)-1</x:f>
        <x:v>0.12817211734439837</x:v>
      </x:c>
      <x:c r="C27" s="10" t="str">
        <x:v>相对台股</x:v>
      </x:c>
      <x:c r="D27" s="10" t="str">
        <x:v>两地不同步</x:v>
      </x:c>
      <x:c r="E27" s="10" t="str">
        <x:v>不视为无风险套利</x:v>
      </x:c>
      <x:c r="F27" s="10" t="str">
        <x:v>F01 + Q01/Q02 + FX1</x:v>
      </x:c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23" customHeight="1">
      <x:c r="A30" s="2"/>
      <x:c r="B30" s="2"/>
      <x:c r="C30" s="2"/>
      <x:c r="D30" s="2"/>
      <x:c r="E30" s="2"/>
      <x:c r="F30" s="2"/>
    </x:row>
    <x:row r="31" ht="23" customHeight="1">
      <x:c r="A31" s="2"/>
      <x:c r="B31" s="2"/>
      <x:c r="C31" s="2"/>
      <x:c r="D31" s="2"/>
      <x:c r="E31" s="2"/>
      <x:c r="F31" s="2"/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  <x:row r="34" ht="23" customHeight="1">
      <x:c r="A34" s="2"/>
      <x:c r="B34" s="2"/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  <x:row r="36" ht="23" customHeight="1">
      <x:c r="A36" s="2"/>
      <x:c r="B36" s="2"/>
      <x:c r="C36" s="2"/>
      <x:c r="D36" s="2"/>
      <x:c r="E36" s="2"/>
      <x:c r="F36" s="2"/>
    </x:row>
    <x:row r="37" ht="23" customHeight="1">
      <x:c r="A37" s="2"/>
      <x:c r="B37" s="2"/>
      <x:c r="C37" s="2"/>
      <x:c r="D37" s="2"/>
      <x:c r="E37" s="2"/>
      <x:c r="F37" s="2"/>
    </x:row>
    <x:row r="38" ht="23" customHeight="1">
      <x:c r="A38" s="2"/>
      <x:c r="B38" s="2"/>
      <x:c r="C38" s="2"/>
      <x:c r="D38" s="2"/>
      <x:c r="E38" s="2"/>
      <x:c r="F38" s="2"/>
    </x:row>
    <x:row r="39" ht="23" customHeight="1">
      <x:c r="A39" s="2"/>
      <x:c r="B39" s="2"/>
      <x:c r="C39" s="2"/>
      <x:c r="D39" s="2"/>
      <x:c r="E39" s="2"/>
      <x:c r="F39" s="2"/>
    </x:row>
    <x:row r="40" ht="23" customHeight="1">
      <x:c r="A40" s="2"/>
      <x:c r="B40" s="2"/>
      <x:c r="C40" s="2"/>
      <x:c r="D40" s="2"/>
      <x:c r="E40" s="2"/>
      <x:c r="F40" s="2"/>
    </x:row>
    <x:row r="41" ht="23" customHeight="1">
      <x:c r="A41" s="2"/>
      <x:c r="B41" s="2"/>
      <x:c r="C41" s="2"/>
      <x:c r="D41" s="2"/>
      <x:c r="E41" s="2"/>
      <x:c r="F41" s="2"/>
    </x:row>
    <x:row r="42" ht="23" customHeight="1">
      <x:c r="A42" s="2"/>
      <x:c r="B42" s="2"/>
      <x:c r="C42" s="2"/>
      <x:c r="D42" s="2"/>
      <x:c r="E42" s="2"/>
      <x:c r="F42" s="2"/>
    </x:row>
    <x:row r="43" ht="23" customHeight="1">
      <x:c r="A43" s="2"/>
      <x:c r="B43" s="2"/>
      <x:c r="C43" s="2"/>
      <x:c r="D43" s="2"/>
      <x:c r="E43" s="2"/>
      <x:c r="F43" s="2"/>
    </x:row>
    <x:row r="44" ht="23" customHeight="1">
      <x:c r="A44" s="2"/>
      <x:c r="B44" s="2"/>
      <x:c r="C44" s="2"/>
      <x:c r="D44" s="2"/>
      <x:c r="E44" s="2"/>
      <x:c r="F44" s="2"/>
    </x:row>
    <x:row r="45" ht="23" customHeight="1">
      <x:c r="A45" s="2"/>
      <x:c r="B45" s="2"/>
      <x:c r="C45" s="2"/>
      <x:c r="D45" s="2"/>
      <x:c r="E45" s="2"/>
      <x:c r="F45" s="2"/>
    </x:row>
    <x:row r="46" ht="23" customHeight="1">
      <x:c r="A46" s="2"/>
      <x:c r="B46" s="2"/>
      <x:c r="C46" s="2"/>
      <x:c r="D46" s="2"/>
      <x:c r="E46" s="2"/>
      <x:c r="F46" s="2"/>
    </x:row>
    <x:row r="47" ht="23" customHeight="1">
      <x:c r="A47" s="2"/>
      <x:c r="B47" s="2"/>
      <x:c r="C47" s="2"/>
      <x:c r="D47" s="2"/>
      <x:c r="E47" s="2"/>
      <x:c r="F47" s="2"/>
    </x:row>
    <x:row r="48" ht="23" customHeight="1">
      <x:c r="A48" s="2"/>
      <x:c r="B48" s="2"/>
      <x:c r="C48" s="2"/>
      <x:c r="D48" s="2"/>
      <x:c r="E48" s="2"/>
      <x:c r="F48" s="2"/>
    </x:row>
    <x:row r="49" ht="23" customHeight="1">
      <x:c r="A49" s="2"/>
      <x:c r="B49" s="2"/>
      <x:c r="C49" s="2"/>
      <x:c r="D49" s="2"/>
      <x:c r="E49" s="2"/>
      <x:c r="F49" s="2"/>
    </x:row>
    <x:row r="50" ht="23" customHeight="1">
      <x:c r="A50" s="2"/>
      <x:c r="B50" s="2"/>
      <x:c r="C50" s="2"/>
      <x:c r="D50" s="2"/>
      <x:c r="E50" s="2"/>
      <x:c r="F50" s="2"/>
    </x:row>
    <x:row r="51" ht="23" customHeight="1">
      <x:c r="A51" s="2"/>
      <x:c r="B51" s="2"/>
      <x:c r="C51" s="2"/>
      <x:c r="D51" s="2"/>
      <x:c r="E51" s="2"/>
      <x:c r="F51" s="2"/>
    </x:row>
    <x:row r="52" ht="23" customHeight="1">
      <x:c r="A52" s="2"/>
      <x:c r="B52" s="2"/>
      <x:c r="C52" s="2"/>
      <x:c r="D52" s="2"/>
      <x:c r="E52" s="2"/>
      <x:c r="F52" s="2"/>
    </x:row>
    <x:row r="53" ht="23" customHeight="1">
      <x:c r="A53" s="2"/>
      <x:c r="B53" s="2"/>
      <x:c r="C53" s="2"/>
      <x:c r="D53" s="2"/>
      <x:c r="E53" s="2"/>
      <x:c r="F53" s="2"/>
    </x:row>
    <x:row r="54" ht="23" customHeight="1">
      <x:c r="A54" s="2"/>
      <x:c r="B54" s="2"/>
      <x:c r="C54" s="2"/>
      <x:c r="D54" s="2"/>
      <x:c r="E54" s="2"/>
      <x:c r="F54" s="2"/>
    </x:row>
    <x:row r="55" ht="23" customHeight="1">
      <x:c r="A55" s="2"/>
      <x:c r="B55" s="2"/>
      <x:c r="C55" s="2"/>
      <x:c r="D55" s="2"/>
      <x:c r="E55" s="2"/>
      <x:c r="F55" s="2"/>
    </x:row>
    <x:row r="56" ht="23" customHeight="1">
      <x:c r="A56" s="2"/>
      <x:c r="B56" s="2"/>
      <x:c r="C56" s="2"/>
      <x:c r="D56" s="2"/>
      <x:c r="E56" s="2"/>
      <x:c r="F56" s="2"/>
    </x:row>
    <x:row r="57" ht="23" customHeight="1">
      <x:c r="A57" s="2"/>
      <x:c r="B57" s="2"/>
      <x:c r="C57" s="2"/>
      <x:c r="D57" s="2"/>
      <x:c r="E57" s="2"/>
      <x:c r="F57" s="2"/>
    </x:row>
    <x:row r="58" ht="23" customHeight="1">
      <x:c r="A58" s="2"/>
      <x:c r="B58" s="2"/>
      <x:c r="C58" s="2"/>
      <x:c r="D58" s="2"/>
      <x:c r="E58" s="2"/>
      <x:c r="F58" s="2"/>
    </x:row>
    <x:row r="59" ht="23" customHeight="1">
      <x:c r="A59" s="2"/>
      <x:c r="B59" s="2"/>
      <x:c r="C59" s="2"/>
      <x:c r="D59" s="2"/>
      <x:c r="E59" s="2"/>
      <x:c r="F59" s="2"/>
    </x:row>
    <x:row r="60" ht="23" customHeight="1">
      <x:c r="A60" s="2"/>
      <x:c r="B60" s="2"/>
      <x:c r="C60" s="2"/>
      <x:c r="D60" s="2"/>
      <x:c r="E60" s="2"/>
      <x:c r="F60" s="2"/>
    </x:row>
    <x:row r="61" ht="23" customHeight="1">
      <x:c r="A61" s="2"/>
      <x:c r="B61" s="2"/>
      <x:c r="C61" s="2"/>
      <x:c r="D61" s="2"/>
      <x:c r="E61" s="2"/>
      <x:c r="F61" s="2"/>
    </x:row>
    <x:row r="62" ht="23" customHeight="1">
      <x:c r="A62" s="2"/>
      <x:c r="B62" s="2"/>
      <x:c r="C62" s="2"/>
      <x:c r="D62" s="2"/>
      <x:c r="E62" s="2"/>
      <x:c r="F62" s="2"/>
    </x:row>
    <x:row r="63" ht="23" customHeight="1">
      <x:c r="A63" s="2"/>
      <x:c r="B63" s="2"/>
      <x:c r="C63" s="2"/>
      <x:c r="D63" s="2"/>
      <x:c r="E63" s="2"/>
      <x:c r="F63" s="2"/>
    </x:row>
    <x:row r="64" ht="23" customHeight="1">
      <x:c r="A64" s="2"/>
      <x:c r="B64" s="2"/>
      <x:c r="C64" s="2"/>
      <x:c r="D64" s="2"/>
      <x:c r="E64" s="2"/>
      <x:c r="F64" s="2"/>
    </x:row>
    <x:row r="65" ht="23" customHeight="1">
      <x:c r="A65" s="2"/>
      <x:c r="B65" s="2"/>
      <x:c r="C65" s="2"/>
      <x:c r="D65" s="2"/>
      <x:c r="E65" s="2"/>
      <x:c r="F65" s="2"/>
    </x:row>
    <x:row r="66" ht="23" customHeight="1">
      <x:c r="A66" s="2"/>
      <x:c r="B66" s="2"/>
      <x:c r="C66" s="2"/>
      <x:c r="D66" s="2"/>
      <x:c r="E66" s="2"/>
      <x:c r="F66" s="2"/>
    </x:row>
    <x:row r="67" ht="23" customHeight="1">
      <x:c r="A67" s="2"/>
      <x:c r="B67" s="2"/>
      <x:c r="C67" s="2"/>
      <x:c r="D67" s="2"/>
      <x:c r="E67" s="2"/>
      <x:c r="F67" s="2"/>
    </x:row>
    <x:row r="68" ht="23" customHeight="1">
      <x:c r="A68" s="2"/>
      <x:c r="B68" s="2"/>
      <x:c r="C68" s="2"/>
      <x:c r="D68" s="2"/>
      <x:c r="E68" s="2"/>
      <x:c r="F68" s="2"/>
    </x:row>
    <x:row r="69" ht="23" customHeight="1">
      <x:c r="A69" s="2"/>
      <x:c r="B69" s="2"/>
      <x:c r="C69" s="2"/>
      <x:c r="D69" s="2"/>
      <x:c r="E69" s="2"/>
      <x:c r="F69" s="2"/>
    </x:row>
    <x:row r="70" ht="23" customHeight="1">
      <x:c r="A70" s="2"/>
      <x:c r="B70" s="2"/>
      <x:c r="C70" s="2"/>
      <x:c r="D70" s="2"/>
      <x:c r="E70" s="2"/>
      <x:c r="F70" s="2"/>
    </x:row>
    <x:row r="71" ht="23" customHeight="1">
      <x:c r="A71" s="2"/>
      <x:c r="B71" s="2"/>
      <x:c r="C71" s="2"/>
      <x:c r="D71" s="2"/>
      <x:c r="E71" s="2"/>
      <x:c r="F71" s="2"/>
    </x:row>
    <x:row r="72" ht="23" customHeight="1">
      <x:c r="A72" s="2"/>
      <x:c r="B72" s="2"/>
      <x:c r="C72" s="2"/>
      <x:c r="D72" s="2"/>
      <x:c r="E72" s="2"/>
      <x:c r="F72" s="2"/>
    </x:row>
    <x:row r="73" ht="23" customHeight="1">
      <x:c r="A73" s="2"/>
      <x:c r="B73" s="2"/>
      <x:c r="C73" s="2"/>
      <x:c r="D73" s="2"/>
      <x:c r="E73" s="2"/>
      <x:c r="F73" s="2"/>
    </x:row>
    <x:row r="74" ht="23" customHeight="1">
      <x:c r="A74" s="2"/>
      <x:c r="B74" s="2"/>
      <x:c r="C74" s="2"/>
      <x:c r="D74" s="2"/>
      <x:c r="E74" s="2"/>
      <x:c r="F74" s="2"/>
    </x:row>
    <x:row r="75" ht="23" customHeight="1">
      <x:c r="A75" s="2"/>
      <x:c r="B75" s="2"/>
      <x:c r="C75" s="2"/>
      <x:c r="D75" s="2"/>
      <x:c r="E75" s="2"/>
      <x:c r="F75" s="2"/>
    </x:row>
    <x:row r="76" ht="23" customHeight="1">
      <x:c r="A76" s="2"/>
      <x:c r="B76" s="2"/>
      <x:c r="C76" s="2"/>
      <x:c r="D76" s="2"/>
      <x:c r="E76" s="2"/>
      <x:c r="F76" s="2"/>
    </x:row>
    <x:row r="77" ht="23" customHeight="1">
      <x:c r="A77" s="2"/>
      <x:c r="B77" s="2"/>
      <x:c r="C77" s="2"/>
      <x:c r="D77" s="2"/>
      <x:c r="E77" s="2"/>
      <x:c r="F77" s="2"/>
    </x:row>
    <x:row r="78" ht="23" customHeight="1">
      <x:c r="A78" s="2"/>
      <x:c r="B78" s="2"/>
      <x:c r="C78" s="2"/>
      <x:c r="D78" s="2"/>
      <x:c r="E78" s="2"/>
      <x:c r="F78" s="2"/>
    </x:row>
    <x:row r="79" ht="23" customHeight="1">
      <x:c r="A79" s="2"/>
      <x:c r="B79" s="2"/>
      <x:c r="C79" s="2"/>
      <x:c r="D79" s="2"/>
      <x:c r="E79" s="2"/>
      <x:c r="F79" s="2"/>
    </x:row>
    <x:row r="80" ht="23" customHeight="1">
      <x:c r="A80" s="2"/>
      <x:c r="B80" s="2"/>
      <x:c r="C80" s="2"/>
      <x:c r="D80" s="2"/>
      <x:c r="E80" s="2"/>
      <x:c r="F80" s="2"/>
    </x:row>
    <x:row r="81" ht="23" customHeight="1">
      <x:c r="A81" s="2"/>
      <x:c r="B81" s="2"/>
      <x:c r="C81" s="2"/>
      <x:c r="D81" s="2"/>
      <x:c r="E81" s="2"/>
      <x:c r="F81" s="2"/>
    </x:row>
    <x:row r="82" ht="23" customHeight="1">
      <x:c r="A82" s="2"/>
      <x:c r="B82" s="2"/>
      <x:c r="C82" s="2"/>
      <x:c r="D82" s="2"/>
      <x:c r="E82" s="2"/>
      <x:c r="F82" s="2"/>
    </x:row>
    <x:row r="83" ht="23" customHeight="1">
      <x:c r="A83" s="2"/>
      <x:c r="B83" s="2"/>
      <x:c r="C83" s="2"/>
      <x:c r="D83" s="2"/>
      <x:c r="E83" s="2"/>
      <x:c r="F83" s="2"/>
    </x:row>
    <x:row r="84" ht="23" customHeight="1">
      <x:c r="A84" s="2"/>
      <x:c r="B84" s="2"/>
      <x:c r="C84" s="2"/>
      <x:c r="D84" s="2"/>
      <x:c r="E84" s="2"/>
      <x:c r="F84" s="2"/>
    </x:row>
    <x:row r="85" ht="23" customHeight="1">
      <x:c r="A85" s="2"/>
      <x:c r="B85" s="2"/>
      <x:c r="C85" s="2"/>
      <x:c r="D85" s="2"/>
      <x:c r="E85" s="2"/>
      <x:c r="F85" s="2"/>
    </x:row>
    <x:row r="86" ht="23" customHeight="1">
      <x:c r="A86" s="2"/>
      <x:c r="B86" s="2"/>
      <x:c r="C86" s="2"/>
      <x:c r="D86" s="2"/>
      <x:c r="E86" s="2"/>
      <x:c r="F86" s="2"/>
    </x:row>
    <x:row r="87" ht="23" customHeight="1">
      <x:c r="A87" s="2"/>
      <x:c r="B87" s="2"/>
      <x:c r="C87" s="2"/>
      <x:c r="D87" s="2"/>
      <x:c r="E87" s="2"/>
      <x:c r="F87" s="2"/>
    </x:row>
    <x:row r="88" ht="23" customHeight="1">
      <x:c r="A88" s="2"/>
      <x:c r="B88" s="2"/>
      <x:c r="C88" s="2"/>
      <x:c r="D88" s="2"/>
      <x:c r="E88" s="2"/>
      <x:c r="F88" s="2"/>
    </x:row>
    <x:row r="89" ht="23" customHeight="1">
      <x:c r="A89" s="2"/>
      <x:c r="B89" s="2"/>
      <x:c r="C89" s="2"/>
      <x:c r="D89" s="2"/>
      <x:c r="E89" s="2"/>
      <x:c r="F89" s="2"/>
    </x:row>
    <x:row r="90" ht="23" customHeight="1">
      <x:c r="A90" s="2"/>
      <x:c r="B90" s="2"/>
      <x:c r="C90" s="2"/>
      <x:c r="D90" s="2"/>
      <x:c r="E90" s="2"/>
      <x:c r="F90" s="2"/>
    </x:row>
    <x:row r="91" ht="23" customHeight="1">
      <x:c r="A91" s="2"/>
      <x:c r="B91" s="2"/>
      <x:c r="C91" s="2"/>
      <x:c r="D91" s="2"/>
      <x:c r="E91" s="2"/>
      <x:c r="F91" s="2"/>
    </x:row>
    <x:row r="92" ht="23" customHeight="1">
      <x:c r="A92" s="2"/>
      <x:c r="B92" s="2"/>
      <x:c r="C92" s="2"/>
      <x:c r="D92" s="2"/>
      <x:c r="E92" s="2"/>
      <x:c r="F92" s="2"/>
    </x:row>
    <x:row r="93" ht="23" customHeight="1">
      <x:c r="A93" s="2"/>
      <x:c r="B93" s="2"/>
      <x:c r="C93" s="2"/>
      <x:c r="D93" s="2"/>
      <x:c r="E93" s="2"/>
      <x:c r="F93" s="2"/>
    </x:row>
    <x:row r="94" ht="23" customHeight="1">
      <x:c r="A94" s="2"/>
      <x:c r="B94" s="2"/>
      <x:c r="C94" s="2"/>
      <x:c r="D94" s="2"/>
      <x:c r="E94" s="2"/>
      <x:c r="F94" s="2"/>
    </x:row>
    <x:row r="95" ht="23" customHeight="1">
      <x:c r="A95" s="2"/>
      <x:c r="B95" s="2"/>
      <x:c r="C95" s="2"/>
      <x:c r="D95" s="2"/>
      <x:c r="E95" s="2"/>
      <x:c r="F95" s="2"/>
    </x:row>
    <x:row r="96" ht="23" customHeight="1">
      <x:c r="A96" s="2"/>
      <x:c r="B96" s="2"/>
      <x:c r="C96" s="2"/>
      <x:c r="D96" s="2"/>
      <x:c r="E96" s="2"/>
      <x:c r="F96" s="2"/>
    </x:row>
    <x:row r="97" ht="23" customHeight="1">
      <x:c r="A97" s="2"/>
      <x:c r="B97" s="2"/>
      <x:c r="C97" s="2"/>
      <x:c r="D97" s="2"/>
      <x:c r="E97" s="2"/>
      <x:c r="F97" s="2"/>
    </x:row>
    <x:row r="98" ht="23" customHeight="1">
      <x:c r="A98" s="2"/>
      <x:c r="B98" s="2"/>
      <x:c r="C98" s="2"/>
      <x:c r="D98" s="2"/>
      <x:c r="E98" s="2"/>
      <x:c r="F98" s="2"/>
    </x:row>
    <x:row r="99" ht="23" customHeight="1">
      <x:c r="A99" s="2"/>
      <x:c r="B99" s="2"/>
      <x:c r="C99" s="2"/>
      <x:c r="D99" s="2"/>
      <x:c r="E99" s="2"/>
      <x:c r="F99" s="2"/>
    </x:row>
    <x:row r="100" ht="23" customHeight="1">
      <x:c r="A100" s="2"/>
      <x:c r="B100" s="2"/>
      <x:c r="C100" s="2"/>
      <x:c r="D100" s="2"/>
      <x:c r="E100" s="2"/>
      <x:c r="F100" s="2"/>
    </x:row>
    <x:row r="101" ht="23" customHeight="1">
      <x:c r="A101" s="2"/>
      <x:c r="B101" s="2"/>
      <x:c r="C101" s="2"/>
      <x:c r="D101" s="2"/>
      <x:c r="E101" s="2"/>
      <x:c r="F101" s="2"/>
    </x:row>
    <x:row r="102" ht="23" customHeight="1">
      <x:c r="A102" s="2"/>
      <x:c r="B102" s="2"/>
      <x:c r="C102" s="2"/>
      <x:c r="D102" s="2"/>
      <x:c r="E102" s="2"/>
      <x:c r="F102" s="2"/>
    </x:row>
    <x:row r="103" ht="23" customHeight="1">
      <x:c r="A103" s="2"/>
      <x:c r="B103" s="2"/>
      <x:c r="C103" s="2"/>
      <x:c r="D103" s="2"/>
      <x:c r="E103" s="2"/>
      <x:c r="F103" s="2"/>
    </x:row>
    <x:row r="104" ht="23" customHeight="1">
      <x:c r="A104" s="2"/>
      <x:c r="B104" s="2"/>
      <x:c r="C104" s="2"/>
      <x:c r="D104" s="2"/>
      <x:c r="E104" s="2"/>
      <x:c r="F104" s="2"/>
    </x:row>
    <x:row r="105" ht="23" customHeight="1">
      <x:c r="A105" s="2"/>
      <x:c r="B105" s="2"/>
      <x:c r="C105" s="2"/>
      <x:c r="D105" s="2"/>
      <x:c r="E105" s="2"/>
      <x:c r="F105" s="2"/>
    </x:row>
    <x:row r="106" ht="23" customHeight="1">
      <x:c r="A106" s="2"/>
      <x:c r="B106" s="2"/>
      <x:c r="C106" s="2"/>
      <x:c r="D106" s="2"/>
      <x:c r="E106" s="2"/>
      <x:c r="F106" s="2"/>
    </x:row>
    <x:row r="107" ht="23" customHeight="1">
      <x:c r="A107" s="2"/>
      <x:c r="B107" s="2"/>
      <x:c r="C107" s="2"/>
      <x:c r="D107" s="2"/>
      <x:c r="E107" s="2"/>
      <x:c r="F107" s="2"/>
    </x:row>
    <x:row r="108" ht="23" customHeight="1">
      <x:c r="A108" s="2"/>
      <x:c r="B108" s="2"/>
      <x:c r="C108" s="2"/>
      <x:c r="D108" s="2"/>
      <x:c r="E108" s="2"/>
      <x:c r="F108" s="2"/>
    </x:row>
    <x:row r="109" ht="23" customHeight="1">
      <x:c r="A109" s="2"/>
      <x:c r="B109" s="2"/>
      <x:c r="C109" s="2"/>
      <x:c r="D109" s="2"/>
      <x:c r="E109" s="2"/>
      <x:c r="F109" s="2"/>
    </x:row>
    <x:row r="110" ht="23" customHeight="1">
      <x:c r="A110" s="2"/>
      <x:c r="B110" s="2"/>
      <x:c r="C110" s="2"/>
      <x:c r="D110" s="2"/>
      <x:c r="E110" s="2"/>
      <x:c r="F110" s="2"/>
    </x:row>
    <x:row r="111" ht="23" customHeight="1">
      <x:c r="A111" s="2"/>
      <x:c r="B111" s="2"/>
      <x:c r="C111" s="2"/>
      <x:c r="D111" s="2"/>
      <x:c r="E111" s="2"/>
      <x:c r="F111" s="2"/>
    </x:row>
    <x:row r="112" ht="23" customHeight="1">
      <x:c r="A112" s="2"/>
      <x:c r="B112" s="2"/>
      <x:c r="C112" s="2"/>
      <x:c r="D112" s="2"/>
      <x:c r="E112" s="2"/>
      <x:c r="F112" s="2"/>
    </x:row>
    <x:row r="113" ht="23" customHeight="1">
      <x:c r="A113" s="2"/>
      <x:c r="B113" s="2"/>
      <x:c r="C113" s="2"/>
      <x:c r="D113" s="2"/>
      <x:c r="E113" s="2"/>
      <x:c r="F113" s="2"/>
    </x:row>
    <x:row r="114" ht="23" customHeight="1">
      <x:c r="A114" s="2"/>
      <x:c r="B114" s="2"/>
      <x:c r="C114" s="2"/>
      <x:c r="D114" s="2"/>
      <x:c r="E114" s="2"/>
      <x:c r="F114" s="2"/>
    </x:row>
    <x:row r="115" ht="23" customHeight="1">
      <x:c r="A115" s="2"/>
      <x:c r="B115" s="2"/>
      <x:c r="C115" s="2"/>
      <x:c r="D115" s="2"/>
      <x:c r="E115" s="2"/>
      <x:c r="F115" s="2"/>
    </x:row>
    <x:row r="116" ht="23" customHeight="1">
      <x:c r="A116" s="2"/>
      <x:c r="B116" s="2"/>
      <x:c r="C116" s="2"/>
      <x:c r="D116" s="2"/>
      <x:c r="E116" s="2"/>
      <x:c r="F116" s="2"/>
    </x:row>
    <x:row r="117" ht="23" customHeight="1">
      <x:c r="A117" s="2"/>
      <x:c r="B117" s="2"/>
      <x:c r="C117" s="2"/>
      <x:c r="D117" s="2"/>
      <x:c r="E117" s="2"/>
      <x:c r="F117" s="2"/>
    </x:row>
    <x:row r="118" ht="23" customHeight="1">
      <x:c r="A118" s="2"/>
      <x:c r="B118" s="2"/>
      <x:c r="C118" s="2"/>
      <x:c r="D118" s="2"/>
      <x:c r="E118" s="2"/>
      <x:c r="F118" s="2"/>
    </x:row>
    <x:row r="119" ht="23" customHeight="1">
      <x:c r="A119" s="2"/>
      <x:c r="B119" s="2"/>
      <x:c r="C119" s="2"/>
      <x:c r="D119" s="2"/>
      <x:c r="E119" s="2"/>
      <x:c r="F119" s="2"/>
    </x:row>
    <x:row r="120" ht="23" customHeight="1">
      <x:c r="A120" s="2"/>
      <x:c r="B120" s="2"/>
      <x:c r="C120" s="2"/>
      <x:c r="D120" s="2"/>
      <x:c r="E120" s="2"/>
      <x:c r="F120" s="2"/>
    </x:row>
    <x:row r="121" ht="23" customHeight="1">
      <x:c r="A121" s="2"/>
      <x:c r="B121" s="2"/>
      <x:c r="C121" s="2"/>
      <x:c r="D121" s="2"/>
      <x:c r="E121" s="2"/>
      <x:c r="F121" s="2"/>
    </x:row>
    <x:row r="122" ht="23" customHeight="1">
      <x:c r="A122" s="2"/>
      <x:c r="B122" s="2"/>
      <x:c r="C122" s="2"/>
      <x:c r="D122" s="2"/>
      <x:c r="E122" s="2"/>
      <x:c r="F122" s="2"/>
    </x:row>
    <x:row r="123" ht="23" customHeight="1">
      <x:c r="A123" s="2"/>
      <x:c r="B123" s="2"/>
      <x:c r="C123" s="2"/>
      <x:c r="D123" s="2"/>
      <x:c r="E123" s="2"/>
      <x:c r="F123" s="2"/>
    </x:row>
    <x:row r="124" ht="23" customHeight="1">
      <x:c r="A124" s="2"/>
      <x:c r="B124" s="2"/>
      <x:c r="C124" s="2"/>
      <x:c r="D124" s="2"/>
      <x:c r="E124" s="2"/>
      <x:c r="F124" s="2"/>
    </x:row>
    <x:row r="125" ht="23" customHeight="1">
      <x:c r="A125" s="2"/>
      <x:c r="B125" s="2"/>
      <x:c r="C125" s="2"/>
      <x:c r="D125" s="2"/>
      <x:c r="E125" s="2"/>
      <x:c r="F125" s="2"/>
    </x:row>
    <x:row r="126" ht="23" customHeight="1">
      <x:c r="A126" s="2"/>
      <x:c r="B126" s="2"/>
      <x:c r="C126" s="2"/>
      <x:c r="D126" s="2"/>
      <x:c r="E126" s="2"/>
      <x:c r="F126" s="2"/>
    </x:row>
    <x:row r="127" ht="23" customHeight="1">
      <x:c r="A127" s="2"/>
      <x:c r="B127" s="2"/>
      <x:c r="C127" s="2"/>
      <x:c r="D127" s="2"/>
      <x:c r="E127" s="2"/>
      <x:c r="F127" s="2"/>
    </x:row>
    <x:row r="128" ht="23" customHeight="1">
      <x:c r="A128" s="2"/>
      <x:c r="B128" s="2"/>
      <x:c r="C128" s="2"/>
      <x:c r="D128" s="2"/>
      <x:c r="E128" s="2"/>
      <x:c r="F128" s="2"/>
    </x:row>
    <x:row r="129" ht="23" customHeight="1">
      <x:c r="A129" s="2"/>
      <x:c r="B129" s="2"/>
      <x:c r="C129" s="2"/>
      <x:c r="D129" s="2"/>
      <x:c r="E129" s="2"/>
      <x:c r="F129" s="2"/>
    </x:row>
    <x:row r="130" ht="23" customHeight="1">
      <x:c r="A130" s="2"/>
      <x:c r="B130" s="2"/>
      <x:c r="C130" s="2"/>
      <x:c r="D130" s="2"/>
      <x:c r="E130" s="2"/>
      <x:c r="F130" s="2"/>
    </x:row>
    <x:row r="131" ht="23" customHeight="1">
      <x:c r="A131" s="2"/>
      <x:c r="B131" s="2"/>
      <x:c r="C131" s="2"/>
      <x:c r="D131" s="2"/>
      <x:c r="E131" s="2"/>
      <x:c r="F131" s="2"/>
    </x:row>
    <x:row r="132" ht="23" customHeight="1">
      <x:c r="A132" s="2"/>
      <x:c r="B132" s="2"/>
      <x:c r="C132" s="2"/>
      <x:c r="D132" s="2"/>
      <x:c r="E132" s="2"/>
      <x:c r="F132" s="2"/>
    </x:row>
    <x:row r="133" ht="23" customHeight="1">
      <x:c r="A133" s="2"/>
      <x:c r="B133" s="2"/>
      <x:c r="C133" s="2"/>
      <x:c r="D133" s="2"/>
      <x:c r="E133" s="2"/>
      <x:c r="F133" s="2"/>
    </x:row>
    <x:row r="134" ht="23" customHeight="1">
      <x:c r="A134" s="2"/>
      <x:c r="B134" s="2"/>
      <x:c r="C134" s="2"/>
      <x:c r="D134" s="2"/>
      <x:c r="E134" s="2"/>
      <x:c r="F134" s="2"/>
    </x:row>
    <x:row r="135" ht="23" customHeight="1">
      <x:c r="A135" s="2"/>
      <x:c r="B135" s="2"/>
      <x:c r="C135" s="2"/>
      <x:c r="D135" s="2"/>
      <x:c r="E135" s="2"/>
      <x:c r="F135" s="2"/>
    </x:row>
    <x:row r="136" ht="23" customHeight="1">
      <x:c r="A136" s="2"/>
      <x:c r="B136" s="2"/>
      <x:c r="C136" s="2"/>
      <x:c r="D136" s="2"/>
      <x:c r="E136" s="2"/>
      <x:c r="F136" s="2"/>
    </x:row>
    <x:row r="137" ht="23" customHeight="1">
      <x:c r="A137" s="2"/>
      <x:c r="B137" s="2"/>
      <x:c r="C137" s="2"/>
      <x:c r="D137" s="2"/>
      <x:c r="E137" s="2"/>
      <x:c r="F137" s="2"/>
    </x:row>
    <x:row r="138" ht="23" customHeight="1">
      <x:c r="A138" s="2"/>
      <x:c r="B138" s="2"/>
      <x:c r="C138" s="2"/>
      <x:c r="D138" s="2"/>
      <x:c r="E138" s="2"/>
      <x:c r="F138" s="2"/>
    </x:row>
    <x:row r="139" ht="23" customHeight="1">
      <x:c r="A139" s="2"/>
      <x:c r="B139" s="2"/>
      <x:c r="C139" s="2"/>
      <x:c r="D139" s="2"/>
      <x:c r="E139" s="2"/>
      <x:c r="F139" s="2"/>
    </x:row>
    <x:row r="140" ht="23" customHeight="1">
      <x:c r="A140" s="2"/>
      <x:c r="B140" s="2"/>
      <x:c r="C140" s="2"/>
      <x:c r="D140" s="2"/>
      <x:c r="E140" s="2"/>
      <x:c r="F140" s="2"/>
    </x:row>
    <x:row r="141" ht="23" customHeight="1">
      <x:c r="A141" s="2"/>
      <x:c r="B141" s="2"/>
      <x:c r="C141" s="2"/>
      <x:c r="D141" s="2"/>
      <x:c r="E141" s="2"/>
      <x:c r="F141" s="2"/>
    </x:row>
    <x:row r="142" ht="23" customHeight="1">
      <x:c r="A142" s="2"/>
      <x:c r="B142" s="2"/>
      <x:c r="C142" s="2"/>
      <x:c r="D142" s="2"/>
      <x:c r="E142" s="2"/>
      <x:c r="F142" s="2"/>
    </x:row>
    <x:row r="143" ht="23" customHeight="1">
      <x:c r="A143" s="2"/>
      <x:c r="B143" s="2"/>
      <x:c r="C143" s="2"/>
      <x:c r="D143" s="2"/>
      <x:c r="E143" s="2"/>
      <x:c r="F143" s="2"/>
    </x:row>
    <x:row r="144" ht="23" customHeight="1">
      <x:c r="A144" s="2"/>
      <x:c r="B144" s="2"/>
      <x:c r="C144" s="2"/>
      <x:c r="D144" s="2"/>
      <x:c r="E144" s="2"/>
      <x:c r="F144" s="2"/>
    </x:row>
    <x:row r="145" ht="23" customHeight="1">
      <x:c r="A145" s="2"/>
      <x:c r="B145" s="2"/>
      <x:c r="C145" s="2"/>
      <x:c r="D145" s="2"/>
      <x:c r="E145" s="2"/>
      <x:c r="F145" s="2"/>
    </x:row>
    <x:row r="146" ht="23" customHeight="1">
      <x:c r="A146" s="2"/>
      <x:c r="B146" s="2"/>
      <x:c r="C146" s="2"/>
      <x:c r="D146" s="2"/>
      <x:c r="E146" s="2"/>
      <x:c r="F146" s="2"/>
    </x:row>
    <x:row r="147" ht="23" customHeight="1">
      <x:c r="A147" s="2"/>
      <x:c r="B147" s="2"/>
      <x:c r="C147" s="2"/>
      <x:c r="D147" s="2"/>
      <x:c r="E147" s="2"/>
      <x:c r="F147" s="2"/>
    </x:row>
    <x:row r="148" ht="23" customHeight="1">
      <x:c r="A148" s="2"/>
      <x:c r="B148" s="2"/>
      <x:c r="C148" s="2"/>
      <x:c r="D148" s="2"/>
      <x:c r="E148" s="2"/>
      <x:c r="F148" s="2"/>
    </x:row>
    <x:row r="149" ht="23" customHeight="1">
      <x:c r="A149" s="2"/>
      <x:c r="B149" s="2"/>
      <x:c r="C149" s="2"/>
      <x:c r="D149" s="2"/>
      <x:c r="E149" s="2"/>
      <x:c r="F149" s="2"/>
    </x:row>
    <x:row r="150" ht="23" customHeight="1">
      <x:c r="A150" s="2"/>
      <x:c r="B150" s="2"/>
      <x:c r="C150" s="2"/>
      <x:c r="D150" s="2"/>
      <x:c r="E150" s="2"/>
      <x:c r="F150" s="2"/>
    </x:row>
    <x:row r="151" ht="23" customHeight="1">
      <x:c r="A151" s="2"/>
      <x:c r="B151" s="2"/>
      <x:c r="C151" s="2"/>
      <x:c r="D151" s="2"/>
      <x:c r="E151" s="2"/>
      <x:c r="F151" s="2"/>
    </x:row>
    <x:row r="152" ht="23" customHeight="1">
      <x:c r="A152" s="2"/>
      <x:c r="B152" s="2"/>
      <x:c r="C152" s="2"/>
      <x:c r="D152" s="2"/>
      <x:c r="E152" s="2"/>
      <x:c r="F152" s="2"/>
    </x:row>
    <x:row r="153" ht="23" customHeight="1">
      <x:c r="A153" s="2"/>
      <x:c r="B153" s="2"/>
      <x:c r="C153" s="2"/>
      <x:c r="D153" s="2"/>
      <x:c r="E153" s="2"/>
      <x:c r="F153" s="2"/>
    </x:row>
    <x:row r="154" ht="23" customHeight="1">
      <x:c r="A154" s="2"/>
      <x:c r="B154" s="2"/>
      <x:c r="C154" s="2"/>
      <x:c r="D154" s="2"/>
      <x:c r="E154" s="2"/>
      <x:c r="F154" s="2"/>
    </x:row>
    <x:row r="155" ht="23" customHeight="1">
      <x:c r="A155" s="2"/>
      <x:c r="B155" s="2"/>
      <x:c r="C155" s="2"/>
      <x:c r="D155" s="2"/>
      <x:c r="E155" s="2"/>
      <x:c r="F155" s="2"/>
    </x:row>
    <x:row r="156" ht="23" customHeight="1">
      <x:c r="A156" s="2"/>
      <x:c r="B156" s="2"/>
      <x:c r="C156" s="2"/>
      <x:c r="D156" s="2"/>
      <x:c r="E156" s="2"/>
      <x:c r="F156" s="2"/>
    </x:row>
    <x:row r="157" ht="23" customHeight="1">
      <x:c r="A157" s="2"/>
      <x:c r="B157" s="2"/>
      <x:c r="C157" s="2"/>
      <x:c r="D157" s="2"/>
      <x:c r="E157" s="2"/>
      <x:c r="F157" s="2"/>
    </x:row>
    <x:row r="158" ht="23" customHeight="1">
      <x:c r="A158" s="2"/>
      <x:c r="B158" s="2"/>
      <x:c r="C158" s="2"/>
      <x:c r="D158" s="2"/>
      <x:c r="E158" s="2"/>
      <x:c r="F158" s="2"/>
    </x:row>
    <x:row r="159" ht="23" customHeight="1">
      <x:c r="A159" s="2"/>
      <x:c r="B159" s="2"/>
      <x:c r="C159" s="2"/>
      <x:c r="D159" s="2"/>
      <x:c r="E159" s="2"/>
      <x:c r="F159" s="2"/>
    </x:row>
    <x:row r="160" ht="23" customHeight="1">
      <x:c r="A160" s="2"/>
      <x:c r="B160" s="2"/>
      <x:c r="C160" s="2"/>
      <x:c r="D160" s="2"/>
      <x:c r="E160" s="2"/>
      <x:c r="F160" s="2"/>
    </x:row>
    <x:row r="161" ht="23" customHeight="1">
      <x:c r="A161" s="2"/>
      <x:c r="B161" s="2"/>
      <x:c r="C161" s="2"/>
      <x:c r="D161" s="2"/>
      <x:c r="E161" s="2"/>
      <x:c r="F161" s="2"/>
    </x:row>
    <x:row r="162" ht="23" customHeight="1">
      <x:c r="A162" s="2"/>
      <x:c r="B162" s="2"/>
      <x:c r="C162" s="2"/>
      <x:c r="D162" s="2"/>
      <x:c r="E162" s="2"/>
      <x:c r="F162" s="2"/>
    </x:row>
    <x:row r="163" ht="23" customHeight="1">
      <x:c r="A163" s="2"/>
      <x:c r="B163" s="2"/>
      <x:c r="C163" s="2"/>
      <x:c r="D163" s="2"/>
      <x:c r="E163" s="2"/>
      <x:c r="F163" s="2"/>
    </x:row>
    <x:row r="164" ht="23" customHeight="1">
      <x:c r="A164" s="2"/>
      <x:c r="B164" s="2"/>
      <x:c r="C164" s="2"/>
      <x:c r="D164" s="2"/>
      <x:c r="E164" s="2"/>
      <x:c r="F164" s="2"/>
    </x:row>
    <x:row r="165" ht="23" customHeight="1">
      <x:c r="A165" s="2"/>
      <x:c r="B165" s="2"/>
      <x:c r="C165" s="2"/>
      <x:c r="D165" s="2"/>
      <x:c r="E165" s="2"/>
      <x:c r="F165" s="2"/>
    </x:row>
    <x:row r="166" ht="23" customHeight="1">
      <x:c r="A166" s="2"/>
      <x:c r="B166" s="2"/>
      <x:c r="C166" s="2"/>
      <x:c r="D166" s="2"/>
      <x:c r="E166" s="2"/>
      <x:c r="F166" s="2"/>
    </x:row>
    <x:row r="167" ht="23" customHeight="1">
      <x:c r="A167" s="2"/>
      <x:c r="B167" s="2"/>
      <x:c r="C167" s="2"/>
      <x:c r="D167" s="2"/>
      <x:c r="E167" s="2"/>
      <x:c r="F167" s="2"/>
    </x:row>
    <x:row r="168" ht="23" customHeight="1">
      <x:c r="A168" s="2"/>
      <x:c r="B168" s="2"/>
      <x:c r="C168" s="2"/>
      <x:c r="D168" s="2"/>
      <x:c r="E168" s="2"/>
      <x:c r="F168" s="2"/>
    </x:row>
    <x:row r="169" ht="23" customHeight="1">
      <x:c r="A169" s="2"/>
      <x:c r="B169" s="2"/>
      <x:c r="C169" s="2"/>
      <x:c r="D169" s="2"/>
      <x:c r="E169" s="2"/>
      <x:c r="F169" s="2"/>
    </x:row>
    <x:row r="170" ht="23" customHeight="1">
      <x:c r="A170" s="2"/>
      <x:c r="B170" s="2"/>
      <x:c r="C170" s="2"/>
      <x:c r="D170" s="2"/>
      <x:c r="E170" s="2"/>
      <x:c r="F170" s="2"/>
    </x:row>
    <x:row r="171" ht="23" customHeight="1">
      <x:c r="A171" s="2"/>
      <x:c r="B171" s="2"/>
      <x:c r="C171" s="2"/>
      <x:c r="D171" s="2"/>
      <x:c r="E171" s="2"/>
      <x:c r="F171" s="2"/>
    </x:row>
    <x:row r="172" ht="23" customHeight="1">
      <x:c r="A172" s="2"/>
      <x:c r="B172" s="2"/>
      <x:c r="C172" s="2"/>
      <x:c r="D172" s="2"/>
      <x:c r="E172" s="2"/>
      <x:c r="F172" s="2"/>
    </x:row>
    <x:row r="173" ht="23" customHeight="1">
      <x:c r="A173" s="2"/>
      <x:c r="B173" s="2"/>
      <x:c r="C173" s="2"/>
      <x:c r="D173" s="2"/>
      <x:c r="E173" s="2"/>
      <x:c r="F173" s="2"/>
    </x:row>
    <x:row r="174" ht="23" customHeight="1">
      <x:c r="A174" s="2"/>
      <x:c r="B174" s="2"/>
      <x:c r="C174" s="2"/>
      <x:c r="D174" s="2"/>
      <x:c r="E174" s="2"/>
      <x:c r="F174" s="2"/>
    </x:row>
    <x:row r="175" ht="23" customHeight="1">
      <x:c r="A175" s="2"/>
      <x:c r="B175" s="2"/>
      <x:c r="C175" s="2"/>
      <x:c r="D175" s="2"/>
      <x:c r="E175" s="2"/>
      <x:c r="F175" s="2"/>
    </x:row>
    <x:row r="176" ht="23" customHeight="1">
      <x:c r="A176" s="2"/>
      <x:c r="B176" s="2"/>
      <x:c r="C176" s="2"/>
      <x:c r="D176" s="2"/>
      <x:c r="E176" s="2"/>
      <x:c r="F176" s="2"/>
    </x:row>
    <x:row r="177" ht="23" customHeight="1">
      <x:c r="A177" s="2"/>
      <x:c r="B177" s="2"/>
      <x:c r="C177" s="2"/>
      <x:c r="D177" s="2"/>
      <x:c r="E177" s="2"/>
      <x:c r="F177" s="2"/>
    </x:row>
    <x:row r="178" ht="23" customHeight="1">
      <x:c r="A178" s="2"/>
      <x:c r="B178" s="2"/>
      <x:c r="C178" s="2"/>
      <x:c r="D178" s="2"/>
      <x:c r="E178" s="2"/>
      <x:c r="F178" s="2"/>
    </x:row>
    <x:row r="179" ht="23" customHeight="1">
      <x:c r="A179" s="2"/>
      <x:c r="B179" s="2"/>
      <x:c r="C179" s="2"/>
      <x:c r="D179" s="2"/>
      <x:c r="E179" s="2"/>
      <x:c r="F179" s="2"/>
    </x:row>
    <x:row r="180" ht="23" customHeight="1">
      <x:c r="A180" s="2"/>
      <x:c r="B180" s="2"/>
      <x:c r="C180" s="2"/>
      <x:c r="D180" s="2"/>
      <x:c r="E180" s="2"/>
      <x:c r="F180" s="2"/>
    </x:row>
    <x:row r="181" ht="23" customHeight="1">
      <x:c r="A181" s="2"/>
      <x:c r="B181" s="2"/>
      <x:c r="C181" s="2"/>
      <x:c r="D181" s="2"/>
      <x:c r="E181" s="2"/>
      <x:c r="F181" s="2"/>
    </x:row>
    <x:row r="182" ht="23" customHeight="1">
      <x:c r="A182" s="2"/>
      <x:c r="B182" s="2"/>
      <x:c r="C182" s="2"/>
      <x:c r="D182" s="2"/>
      <x:c r="E182" s="2"/>
      <x:c r="F182" s="2"/>
    </x:row>
    <x:row r="183" ht="23" customHeight="1">
      <x:c r="A183" s="2"/>
      <x:c r="B183" s="2"/>
      <x:c r="C183" s="2"/>
      <x:c r="D183" s="2"/>
      <x:c r="E183" s="2"/>
      <x:c r="F183" s="2"/>
    </x:row>
    <x:row r="184" ht="23" customHeight="1">
      <x:c r="A184" s="2"/>
      <x:c r="B184" s="2"/>
      <x:c r="C184" s="2"/>
      <x:c r="D184" s="2"/>
      <x:c r="E184" s="2"/>
      <x:c r="F184" s="2"/>
    </x:row>
    <x:row r="185" ht="23" customHeight="1">
      <x:c r="A185" s="2"/>
      <x:c r="B185" s="2"/>
      <x:c r="C185" s="2"/>
      <x:c r="D185" s="2"/>
      <x:c r="E185" s="2"/>
      <x:c r="F185" s="2"/>
    </x:row>
    <x:row r="186" ht="23" customHeight="1">
      <x:c r="A186" s="2"/>
      <x:c r="B186" s="2"/>
      <x:c r="C186" s="2"/>
      <x:c r="D186" s="2"/>
      <x:c r="E186" s="2"/>
      <x:c r="F186" s="2"/>
    </x:row>
    <x:row r="187" ht="23" customHeight="1">
      <x:c r="A187" s="2"/>
      <x:c r="B187" s="2"/>
      <x:c r="C187" s="2"/>
      <x:c r="D187" s="2"/>
      <x:c r="E187" s="2"/>
      <x:c r="F187" s="2"/>
    </x:row>
    <x:row r="188" ht="23" customHeight="1">
      <x:c r="A188" s="2"/>
      <x:c r="B188" s="2"/>
      <x:c r="C188" s="2"/>
      <x:c r="D188" s="2"/>
      <x:c r="E188" s="2"/>
      <x:c r="F188" s="2"/>
    </x:row>
    <x:row r="189" ht="23" customHeight="1">
      <x:c r="A189" s="2"/>
      <x:c r="B189" s="2"/>
      <x:c r="C189" s="2"/>
      <x:c r="D189" s="2"/>
      <x:c r="E189" s="2"/>
      <x:c r="F189" s="2"/>
    </x:row>
    <x:row r="190" ht="23" customHeight="1">
      <x:c r="A190" s="2"/>
      <x:c r="B190" s="2"/>
      <x:c r="C190" s="2"/>
      <x:c r="D190" s="2"/>
      <x:c r="E190" s="2"/>
      <x:c r="F190" s="2"/>
    </x:row>
    <x:row r="191" ht="23" customHeight="1">
      <x:c r="A191" s="2"/>
      <x:c r="B191" s="2"/>
      <x:c r="C191" s="2"/>
      <x:c r="D191" s="2"/>
      <x:c r="E191" s="2"/>
      <x:c r="F191" s="2"/>
    </x:row>
    <x:row r="192" ht="23" customHeight="1">
      <x:c r="A192" s="2"/>
      <x:c r="B192" s="2"/>
      <x:c r="C192" s="2"/>
      <x:c r="D192" s="2"/>
      <x:c r="E192" s="2"/>
      <x:c r="F192" s="2"/>
    </x:row>
    <x:row r="193" ht="23" customHeight="1">
      <x:c r="A193" s="2"/>
      <x:c r="B193" s="2"/>
      <x:c r="C193" s="2"/>
      <x:c r="D193" s="2"/>
      <x:c r="E193" s="2"/>
      <x:c r="F193" s="2"/>
    </x:row>
    <x:row r="194" ht="23" customHeight="1">
      <x:c r="A194" s="2"/>
      <x:c r="B194" s="2"/>
      <x:c r="C194" s="2"/>
      <x:c r="D194" s="2"/>
      <x:c r="E194" s="2"/>
      <x:c r="F194" s="2"/>
    </x:row>
    <x:row r="195" ht="23" customHeight="1">
      <x:c r="A195" s="2"/>
      <x:c r="B195" s="2"/>
      <x:c r="C195" s="2"/>
      <x:c r="D195" s="2"/>
      <x:c r="E195" s="2"/>
      <x:c r="F195" s="2"/>
    </x:row>
    <x:row r="196" ht="23" customHeight="1">
      <x:c r="A196" s="2"/>
      <x:c r="B196" s="2"/>
      <x:c r="C196" s="2"/>
      <x:c r="D196" s="2"/>
      <x:c r="E196" s="2"/>
      <x:c r="F196" s="2"/>
    </x:row>
    <x:row r="197" ht="23" customHeight="1">
      <x:c r="A197" s="2"/>
      <x:c r="B197" s="2"/>
      <x:c r="C197" s="2"/>
      <x:c r="D197" s="2"/>
      <x:c r="E197" s="2"/>
      <x:c r="F197" s="2"/>
    </x:row>
    <x:row r="198" ht="23" customHeight="1">
      <x:c r="A198" s="2"/>
      <x:c r="B198" s="2"/>
      <x:c r="C198" s="2"/>
      <x:c r="D198" s="2"/>
      <x:c r="E198" s="2"/>
      <x:c r="F198" s="2"/>
    </x:row>
    <x:row r="199" ht="23" customHeight="1">
      <x:c r="A199" s="2"/>
      <x:c r="B199" s="2"/>
      <x:c r="C199" s="2"/>
      <x:c r="D199" s="2"/>
      <x:c r="E199" s="2"/>
      <x:c r="F199" s="2"/>
    </x:row>
    <x:row r="200" ht="23" customHeight="1">
      <x:c r="A200" s="2"/>
      <x:c r="B200" s="2"/>
      <x:c r="C200" s="2"/>
      <x:c r="D200" s="2"/>
      <x:c r="E200" s="2"/>
      <x:c r="F200" s="2"/>
    </x:row>
    <x:row r="201" ht="23" customHeight="1">
      <x:c r="A201" s="2"/>
      <x:c r="B201" s="2"/>
      <x:c r="C201" s="2"/>
      <x:c r="D201" s="2"/>
      <x:c r="E201" s="2"/>
      <x:c r="F201" s="2"/>
    </x:row>
    <x:row r="202" ht="23" customHeight="1">
      <x:c r="A202" s="2"/>
      <x:c r="B202" s="2"/>
      <x:c r="C202" s="2"/>
      <x:c r="D202" s="2"/>
      <x:c r="E202" s="2"/>
      <x:c r="F202" s="2"/>
    </x:row>
    <x:row r="203" ht="23" customHeight="1">
      <x:c r="A203" s="2"/>
      <x:c r="B203" s="2"/>
      <x:c r="C203" s="2"/>
      <x:c r="D203" s="2"/>
      <x:c r="E203" s="2"/>
      <x:c r="F203" s="2"/>
    </x:row>
    <x:row r="204" ht="23" customHeight="1">
      <x:c r="A204" s="2"/>
      <x:c r="B204" s="2"/>
      <x:c r="C204" s="2"/>
      <x:c r="D204" s="2"/>
      <x:c r="E204" s="2"/>
      <x:c r="F204" s="2"/>
    </x:row>
    <x:row r="205" ht="23" customHeight="1">
      <x:c r="A205" s="2"/>
      <x:c r="B205" s="2"/>
      <x:c r="C205" s="2"/>
      <x:c r="D205" s="2"/>
      <x:c r="E205" s="2"/>
      <x:c r="F205" s="2"/>
    </x:row>
    <x:row r="206" ht="23" customHeight="1">
      <x:c r="A206" s="2"/>
      <x:c r="B206" s="2"/>
      <x:c r="C206" s="2"/>
      <x:c r="D206" s="2"/>
      <x:c r="E206" s="2"/>
      <x:c r="F206" s="2"/>
    </x:row>
    <x:row r="207" ht="23" customHeight="1">
      <x:c r="A207" s="2"/>
      <x:c r="B207" s="2"/>
      <x:c r="C207" s="2"/>
      <x:c r="D207" s="2"/>
      <x:c r="E207" s="2"/>
      <x:c r="F207" s="2"/>
    </x:row>
    <x:row r="208" ht="23" customHeight="1">
      <x:c r="A208" s="2"/>
      <x:c r="B208" s="2"/>
      <x:c r="C208" s="2"/>
      <x:c r="D208" s="2"/>
      <x:c r="E208" s="2"/>
      <x:c r="F208" s="2"/>
    </x:row>
    <x:row r="209" ht="23" customHeight="1">
      <x:c r="A209" s="2"/>
      <x:c r="B209" s="2"/>
      <x:c r="C209" s="2"/>
      <x:c r="D209" s="2"/>
      <x:c r="E209" s="2"/>
      <x:c r="F209" s="2"/>
    </x:row>
    <x:row r="210" ht="23" customHeight="1">
      <x:c r="A210" s="2"/>
      <x:c r="B210" s="2"/>
      <x:c r="C210" s="2"/>
      <x:c r="D210" s="2"/>
      <x:c r="E210" s="2"/>
      <x:c r="F210" s="2"/>
    </x:row>
    <x:row r="211" ht="23" customHeight="1">
      <x:c r="A211" s="2"/>
      <x:c r="B211" s="2"/>
      <x:c r="C211" s="2"/>
      <x:c r="D211" s="2"/>
      <x:c r="E211" s="2"/>
      <x:c r="F211" s="2"/>
    </x:row>
    <x:row r="212" ht="23" customHeight="1">
      <x:c r="A212" s="2"/>
      <x:c r="B212" s="2"/>
      <x:c r="C212" s="2"/>
      <x:c r="D212" s="2"/>
      <x:c r="E212" s="2"/>
      <x:c r="F212" s="2"/>
    </x:row>
    <x:row r="213" ht="23" customHeight="1">
      <x:c r="A213" s="2"/>
      <x:c r="B213" s="2"/>
      <x:c r="C213" s="2"/>
      <x:c r="D213" s="2"/>
      <x:c r="E213" s="2"/>
      <x:c r="F213" s="2"/>
    </x:row>
    <x:row r="214" ht="23" customHeight="1">
      <x:c r="A214" s="2"/>
      <x:c r="B214" s="2"/>
      <x:c r="C214" s="2"/>
      <x:c r="D214" s="2"/>
      <x:c r="E214" s="2"/>
      <x:c r="F214" s="2"/>
    </x:row>
    <x:row r="215" ht="23" customHeight="1">
      <x:c r="A215" s="2"/>
      <x:c r="B215" s="2"/>
      <x:c r="C215" s="2"/>
      <x:c r="D215" s="2"/>
      <x:c r="E215" s="2"/>
      <x:c r="F215" s="2"/>
    </x:row>
    <x:row r="216" ht="23" customHeight="1">
      <x:c r="A216" s="2"/>
      <x:c r="B216" s="2"/>
      <x:c r="C216" s="2"/>
      <x:c r="D216" s="2"/>
      <x:c r="E216" s="2"/>
      <x:c r="F216" s="2"/>
    </x:row>
    <x:row r="217" ht="23" customHeight="1">
      <x:c r="A217" s="2"/>
      <x:c r="B217" s="2"/>
      <x:c r="C217" s="2"/>
      <x:c r="D217" s="2"/>
      <x:c r="E217" s="2"/>
      <x:c r="F217" s="2"/>
    </x:row>
    <x:row r="218" ht="23" customHeight="1">
      <x:c r="A218" s="2"/>
      <x:c r="B218" s="2"/>
      <x:c r="C218" s="2"/>
      <x:c r="D218" s="2"/>
      <x:c r="E218" s="2"/>
      <x:c r="F218" s="2"/>
    </x:row>
    <x:row r="219" ht="23" customHeight="1">
      <x:c r="A219" s="2"/>
      <x:c r="B219" s="2"/>
      <x:c r="C219" s="2"/>
      <x:c r="D219" s="2"/>
      <x:c r="E219" s="2"/>
      <x:c r="F219" s="2"/>
    </x:row>
    <x:row r="220" ht="23" customHeight="1">
      <x:c r="A220" s="2"/>
      <x:c r="B220" s="2"/>
      <x:c r="C220" s="2"/>
      <x:c r="D220" s="2"/>
      <x:c r="E220" s="2"/>
      <x:c r="F220" s="2"/>
    </x:row>
    <x:row r="221" ht="23" customHeight="1">
      <x:c r="A221" s="2"/>
      <x:c r="B221" s="2"/>
      <x:c r="C221" s="2"/>
      <x:c r="D221" s="2"/>
      <x:c r="E221" s="2"/>
      <x:c r="F221" s="2"/>
    </x:row>
    <x:row r="222" ht="23" customHeight="1">
      <x:c r="A222" s="2"/>
      <x:c r="B222" s="2"/>
      <x:c r="C222" s="2"/>
      <x:c r="D222" s="2"/>
      <x:c r="E222" s="2"/>
      <x:c r="F222" s="2"/>
    </x:row>
    <x:row r="223" ht="23" customHeight="1">
      <x:c r="A223" s="2"/>
      <x:c r="B223" s="2"/>
      <x:c r="C223" s="2"/>
      <x:c r="D223" s="2"/>
      <x:c r="E223" s="2"/>
      <x:c r="F223" s="2"/>
    </x:row>
    <x:row r="224" ht="23" customHeight="1">
      <x:c r="A224" s="2"/>
      <x:c r="B224" s="2"/>
      <x:c r="C224" s="2"/>
      <x:c r="D224" s="2"/>
      <x:c r="E224" s="2"/>
      <x:c r="F224" s="2"/>
    </x:row>
    <x:row r="225" ht="23" customHeight="1">
      <x:c r="A225" s="2"/>
      <x:c r="B225" s="2"/>
      <x:c r="C225" s="2"/>
      <x:c r="D225" s="2"/>
      <x:c r="E225" s="2"/>
      <x:c r="F225" s="2"/>
    </x:row>
    <x:row r="226" ht="23" customHeight="1">
      <x:c r="A226" s="2"/>
      <x:c r="B226" s="2"/>
      <x:c r="C226" s="2"/>
      <x:c r="D226" s="2"/>
      <x:c r="E226" s="2"/>
      <x:c r="F226" s="2"/>
    </x:row>
    <x:row r="227" ht="23" customHeight="1">
      <x:c r="A227" s="2"/>
      <x:c r="B227" s="2"/>
      <x:c r="C227" s="2"/>
      <x:c r="D227" s="2"/>
      <x:c r="E227" s="2"/>
      <x:c r="F227" s="2"/>
    </x:row>
    <x:row r="228" ht="23" customHeight="1">
      <x:c r="A228" s="2"/>
      <x:c r="B228" s="2"/>
      <x:c r="C228" s="2"/>
      <x:c r="D228" s="2"/>
      <x:c r="E228" s="2"/>
      <x:c r="F228" s="2"/>
    </x:row>
    <x:row r="229" ht="23" customHeight="1">
      <x:c r="A229" s="2"/>
      <x:c r="B229" s="2"/>
      <x:c r="C229" s="2"/>
      <x:c r="D229" s="2"/>
      <x:c r="E229" s="2"/>
      <x:c r="F229" s="2"/>
    </x:row>
    <x:row r="230" ht="23" customHeight="1">
      <x:c r="A230" s="2"/>
      <x:c r="B230" s="2"/>
      <x:c r="C230" s="2"/>
      <x:c r="D230" s="2"/>
      <x:c r="E230" s="2"/>
      <x:c r="F230" s="2"/>
    </x:row>
    <x:row r="231" ht="23" customHeight="1">
      <x:c r="A231" s="2"/>
      <x:c r="B231" s="2"/>
      <x:c r="C231" s="2"/>
      <x:c r="D231" s="2"/>
      <x:c r="E231" s="2"/>
      <x:c r="F231" s="2"/>
    </x:row>
    <x:row r="232" ht="23" customHeight="1">
      <x:c r="A232" s="2"/>
      <x:c r="B232" s="2"/>
      <x:c r="C232" s="2"/>
      <x:c r="D232" s="2"/>
      <x:c r="E232" s="2"/>
      <x:c r="F232" s="2"/>
    </x:row>
    <x:row r="233" ht="23" customHeight="1">
      <x:c r="A233" s="2"/>
      <x:c r="B233" s="2"/>
      <x:c r="C233" s="2"/>
      <x:c r="D233" s="2"/>
      <x:c r="E233" s="2"/>
      <x:c r="F233" s="2"/>
    </x:row>
    <x:row r="234" ht="23" customHeight="1">
      <x:c r="A234" s="2"/>
      <x:c r="B234" s="2"/>
      <x:c r="C234" s="2"/>
      <x:c r="D234" s="2"/>
      <x:c r="E234" s="2"/>
      <x:c r="F234" s="2"/>
    </x:row>
    <x:row r="235" ht="23" customHeight="1">
      <x:c r="A235" s="2"/>
      <x:c r="B235" s="2"/>
      <x:c r="C235" s="2"/>
      <x:c r="D235" s="2"/>
      <x:c r="E235" s="2"/>
      <x:c r="F235" s="2"/>
    </x:row>
    <x:row r="236" ht="23" customHeight="1">
      <x:c r="A236" s="2"/>
      <x:c r="B236" s="2"/>
      <x:c r="C236" s="2"/>
      <x:c r="D236" s="2"/>
      <x:c r="E236" s="2"/>
      <x:c r="F236" s="2"/>
    </x:row>
    <x:row r="237" ht="23" customHeight="1">
      <x:c r="A237" s="2"/>
      <x:c r="B237" s="2"/>
      <x:c r="C237" s="2"/>
      <x:c r="D237" s="2"/>
      <x:c r="E237" s="2"/>
      <x:c r="F237" s="2"/>
    </x:row>
    <x:row r="238" ht="23" customHeight="1">
      <x:c r="A238" s="2"/>
      <x:c r="B238" s="2"/>
      <x:c r="C238" s="2"/>
      <x:c r="D238" s="2"/>
      <x:c r="E238" s="2"/>
      <x:c r="F238" s="2"/>
    </x:row>
    <x:row r="239" ht="23" customHeight="1">
      <x:c r="A239" s="2"/>
      <x:c r="B239" s="2"/>
      <x:c r="C239" s="2"/>
      <x:c r="D239" s="2"/>
      <x:c r="E239" s="2"/>
      <x:c r="F239" s="2"/>
    </x:row>
    <x:row r="240" ht="23" customHeight="1">
      <x:c r="A240" s="2"/>
      <x:c r="B240" s="2"/>
      <x:c r="C240" s="2"/>
      <x:c r="D240" s="2"/>
      <x:c r="E240" s="2"/>
      <x:c r="F240" s="2"/>
    </x:row>
    <x:row r="241" ht="23" customHeight="1">
      <x:c r="A241" s="2"/>
      <x:c r="B241" s="2"/>
      <x:c r="C241" s="2"/>
      <x:c r="D241" s="2"/>
      <x:c r="E241" s="2"/>
      <x:c r="F241" s="2"/>
    </x:row>
    <x:row r="242" ht="23" customHeight="1">
      <x:c r="A242" s="2"/>
      <x:c r="B242" s="2"/>
      <x:c r="C242" s="2"/>
      <x:c r="D242" s="2"/>
      <x:c r="E242" s="2"/>
      <x:c r="F242" s="2"/>
    </x:row>
    <x:row r="243" ht="23" customHeight="1">
      <x:c r="A243" s="2"/>
      <x:c r="B243" s="2"/>
      <x:c r="C243" s="2"/>
      <x:c r="D243" s="2"/>
      <x:c r="E243" s="2"/>
      <x:c r="F243" s="2"/>
    </x:row>
    <x:row r="244" ht="23" customHeight="1">
      <x:c r="A244" s="2"/>
      <x:c r="B244" s="2"/>
      <x:c r="C244" s="2"/>
      <x:c r="D244" s="2"/>
      <x:c r="E244" s="2"/>
      <x:c r="F244" s="2"/>
    </x:row>
    <x:row r="245" ht="23" customHeight="1">
      <x:c r="A245" s="2"/>
      <x:c r="B245" s="2"/>
      <x:c r="C245" s="2"/>
      <x:c r="D245" s="2"/>
      <x:c r="E245" s="2"/>
      <x:c r="F245" s="2"/>
    </x:row>
    <x:row r="246" ht="23" customHeight="1">
      <x:c r="A246" s="2"/>
      <x:c r="B246" s="2"/>
      <x:c r="C246" s="2"/>
      <x:c r="D246" s="2"/>
      <x:c r="E246" s="2"/>
      <x:c r="F246" s="2"/>
    </x:row>
    <x:row r="247" ht="23" customHeight="1">
      <x:c r="A247" s="2"/>
      <x:c r="B247" s="2"/>
      <x:c r="C247" s="2"/>
      <x:c r="D247" s="2"/>
      <x:c r="E247" s="2"/>
      <x:c r="F247" s="2"/>
    </x:row>
    <x:row r="248" ht="23" customHeight="1">
      <x:c r="A248" s="2"/>
      <x:c r="B248" s="2"/>
      <x:c r="C248" s="2"/>
      <x:c r="D248" s="2"/>
      <x:c r="E248" s="2"/>
      <x:c r="F248" s="2"/>
    </x:row>
    <x:row r="249" ht="23" customHeight="1">
      <x:c r="A249" s="2"/>
      <x:c r="B249" s="2"/>
      <x:c r="C249" s="2"/>
      <x:c r="D249" s="2"/>
      <x:c r="E249" s="2"/>
      <x:c r="F249" s="2"/>
    </x:row>
    <x:row r="250" ht="23" customHeight="1">
      <x:c r="A250" s="2"/>
      <x:c r="B250" s="2"/>
      <x:c r="C250" s="2"/>
      <x:c r="D250" s="2"/>
      <x:c r="E250" s="2"/>
      <x:c r="F250" s="2"/>
    </x:row>
    <x:row r="251" ht="23" customHeight="1">
      <x:c r="A251" s="2"/>
      <x:c r="B251" s="2"/>
      <x:c r="C251" s="2"/>
      <x:c r="D251" s="2"/>
      <x:c r="E251" s="2"/>
      <x:c r="F251" s="2"/>
    </x:row>
    <x:row r="252" ht="23" customHeight="1">
      <x:c r="A252" s="2"/>
      <x:c r="B252" s="2"/>
      <x:c r="C252" s="2"/>
      <x:c r="D252" s="2"/>
      <x:c r="E252" s="2"/>
      <x:c r="F252" s="2"/>
    </x:row>
    <x:row r="253" ht="23" customHeight="1">
      <x:c r="A253" s="2"/>
      <x:c r="B253" s="2"/>
      <x:c r="C253" s="2"/>
      <x:c r="D253" s="2"/>
      <x:c r="E253" s="2"/>
      <x:c r="F253" s="2"/>
    </x:row>
    <x:row r="254" ht="23" customHeight="1">
      <x:c r="A254" s="2"/>
      <x:c r="B254" s="2"/>
      <x:c r="C254" s="2"/>
      <x:c r="D254" s="2"/>
      <x:c r="E254" s="2"/>
      <x:c r="F254" s="2"/>
    </x:row>
    <x:row r="255" ht="23" customHeight="1">
      <x:c r="A255" s="2"/>
      <x:c r="B255" s="2"/>
      <x:c r="C255" s="2"/>
      <x:c r="D255" s="2"/>
      <x:c r="E255" s="2"/>
      <x:c r="F255" s="2"/>
    </x:row>
    <x:row r="256" ht="23" customHeight="1">
      <x:c r="A256" s="2"/>
      <x:c r="B256" s="2"/>
      <x:c r="C256" s="2"/>
      <x:c r="D256" s="2"/>
      <x:c r="E256" s="2"/>
      <x:c r="F256" s="2"/>
    </x:row>
    <x:row r="257" ht="23" customHeight="1">
      <x:c r="A257" s="2"/>
      <x:c r="B257" s="2"/>
      <x:c r="C257" s="2"/>
      <x:c r="D257" s="2"/>
      <x:c r="E257" s="2"/>
      <x:c r="F257" s="2"/>
    </x:row>
    <x:row r="258" ht="23" customHeight="1">
      <x:c r="A258" s="2"/>
      <x:c r="B258" s="2"/>
      <x:c r="C258" s="2"/>
      <x:c r="D258" s="2"/>
      <x:c r="E258" s="2"/>
      <x:c r="F258" s="2"/>
    </x:row>
    <x:row r="259" ht="23" customHeight="1">
      <x:c r="A259" s="2"/>
      <x:c r="B259" s="2"/>
      <x:c r="C259" s="2"/>
      <x:c r="D259" s="2"/>
      <x:c r="E259" s="2"/>
      <x:c r="F259" s="2"/>
    </x:row>
    <x:row r="260" ht="23" customHeight="1">
      <x:c r="A260" s="2"/>
      <x:c r="B260" s="2"/>
      <x:c r="C260" s="2"/>
      <x:c r="D260" s="2"/>
      <x:c r="E260" s="2"/>
      <x:c r="F260" s="2"/>
    </x:row>
    <x:row r="261" ht="23" customHeight="1">
      <x:c r="A261" s="2"/>
      <x:c r="B261" s="2"/>
      <x:c r="C261" s="2"/>
      <x:c r="D261" s="2"/>
      <x:c r="E261" s="2"/>
      <x:c r="F261" s="2"/>
    </x:row>
    <x:row r="262" ht="23" customHeight="1">
      <x:c r="A262" s="2"/>
      <x:c r="B262" s="2"/>
      <x:c r="C262" s="2"/>
      <x:c r="D262" s="2"/>
      <x:c r="E262" s="2"/>
      <x:c r="F262" s="2"/>
    </x:row>
    <x:row r="263" ht="23" customHeight="1">
      <x:c r="A263" s="2"/>
      <x:c r="B263" s="2"/>
      <x:c r="C263" s="2"/>
      <x:c r="D263" s="2"/>
      <x:c r="E263" s="2"/>
      <x:c r="F263" s="2"/>
    </x:row>
    <x:row r="264" ht="23" customHeight="1">
      <x:c r="A264" s="2"/>
      <x:c r="B264" s="2"/>
      <x:c r="C264" s="2"/>
      <x:c r="D264" s="2"/>
      <x:c r="E264" s="2"/>
      <x:c r="F264" s="2"/>
    </x:row>
    <x:row r="265" ht="23" customHeight="1">
      <x:c r="A265" s="2"/>
      <x:c r="B265" s="2"/>
      <x:c r="C265" s="2"/>
      <x:c r="D265" s="2"/>
      <x:c r="E265" s="2"/>
      <x:c r="F265" s="2"/>
    </x:row>
    <x:row r="266" ht="23" customHeight="1">
      <x:c r="A266" s="2"/>
      <x:c r="B266" s="2"/>
      <x:c r="C266" s="2"/>
      <x:c r="D266" s="2"/>
      <x:c r="E266" s="2"/>
      <x:c r="F266" s="2"/>
    </x:row>
    <x:row r="267" ht="23" customHeight="1">
      <x:c r="A267" s="2"/>
      <x:c r="B267" s="2"/>
      <x:c r="C267" s="2"/>
      <x:c r="D267" s="2"/>
      <x:c r="E267" s="2"/>
      <x:c r="F267" s="2"/>
    </x:row>
    <x:row r="268" ht="23" customHeight="1">
      <x:c r="A268" s="2"/>
      <x:c r="B268" s="2"/>
      <x:c r="C268" s="2"/>
      <x:c r="D268" s="2"/>
      <x:c r="E268" s="2"/>
      <x:c r="F268" s="2"/>
    </x:row>
    <x:row r="269" ht="23" customHeight="1">
      <x:c r="A269" s="2"/>
      <x:c r="B269" s="2"/>
      <x:c r="C269" s="2"/>
      <x:c r="D269" s="2"/>
      <x:c r="E269" s="2"/>
      <x:c r="F269" s="2"/>
    </x:row>
    <x:row r="270" ht="23" customHeight="1">
      <x:c r="A270" s="2"/>
      <x:c r="B270" s="2"/>
      <x:c r="C270" s="2"/>
      <x:c r="D270" s="2"/>
      <x:c r="E270" s="2"/>
      <x:c r="F270" s="2"/>
    </x:row>
    <x:row r="271" ht="23" customHeight="1">
      <x:c r="A271" s="2"/>
      <x:c r="B271" s="2"/>
      <x:c r="C271" s="2"/>
      <x:c r="D271" s="2"/>
      <x:c r="E271" s="2"/>
      <x:c r="F271" s="2"/>
    </x:row>
    <x:row r="272" ht="23" customHeight="1">
      <x:c r="A272" s="2"/>
      <x:c r="B272" s="2"/>
      <x:c r="C272" s="2"/>
      <x:c r="D272" s="2"/>
      <x:c r="E272" s="2"/>
      <x:c r="F272" s="2"/>
    </x:row>
    <x:row r="273" ht="23" customHeight="1">
      <x:c r="A273" s="2"/>
      <x:c r="B273" s="2"/>
      <x:c r="C273" s="2"/>
      <x:c r="D273" s="2"/>
      <x:c r="E273" s="2"/>
      <x:c r="F273" s="2"/>
    </x:row>
    <x:row r="274" ht="23" customHeight="1">
      <x:c r="A274" s="2"/>
      <x:c r="B274" s="2"/>
      <x:c r="C274" s="2"/>
      <x:c r="D274" s="2"/>
      <x:c r="E274" s="2"/>
      <x:c r="F274" s="2"/>
    </x:row>
    <x:row r="275" ht="23" customHeight="1">
      <x:c r="A275" s="2"/>
      <x:c r="B275" s="2"/>
      <x:c r="C275" s="2"/>
      <x:c r="D275" s="2"/>
      <x:c r="E275" s="2"/>
      <x:c r="F275" s="2"/>
    </x:row>
    <x:row r="276" ht="23" customHeight="1">
      <x:c r="A276" s="2"/>
      <x:c r="B276" s="2"/>
      <x:c r="C276" s="2"/>
      <x:c r="D276" s="2"/>
      <x:c r="E276" s="2"/>
      <x:c r="F276" s="2"/>
    </x:row>
    <x:row r="277" ht="23" customHeight="1">
      <x:c r="A277" s="2"/>
      <x:c r="B277" s="2"/>
      <x:c r="C277" s="2"/>
      <x:c r="D277" s="2"/>
      <x:c r="E277" s="2"/>
      <x:c r="F277" s="2"/>
    </x:row>
    <x:row r="278" ht="23" customHeight="1">
      <x:c r="A278" s="2"/>
      <x:c r="B278" s="2"/>
      <x:c r="C278" s="2"/>
      <x:c r="D278" s="2"/>
      <x:c r="E278" s="2"/>
      <x:c r="F278" s="2"/>
    </x:row>
    <x:row r="279" ht="23" customHeight="1">
      <x:c r="A279" s="2"/>
      <x:c r="B279" s="2"/>
      <x:c r="C279" s="2"/>
      <x:c r="D279" s="2"/>
      <x:c r="E279" s="2"/>
      <x:c r="F279" s="2"/>
    </x:row>
    <x:row r="280" ht="23" customHeight="1">
      <x:c r="A280" s="2"/>
      <x:c r="B280" s="2"/>
      <x:c r="C280" s="2"/>
      <x:c r="D280" s="2"/>
      <x:c r="E280" s="2"/>
      <x:c r="F280" s="2"/>
    </x:row>
    <x:row r="281" ht="23" customHeight="1">
      <x:c r="A281" s="2"/>
      <x:c r="B281" s="2"/>
      <x:c r="C281" s="2"/>
      <x:c r="D281" s="2"/>
      <x:c r="E281" s="2"/>
      <x:c r="F281" s="2"/>
    </x:row>
    <x:row r="282" ht="23" customHeight="1">
      <x:c r="A282" s="2"/>
      <x:c r="B282" s="2"/>
      <x:c r="C282" s="2"/>
      <x:c r="D282" s="2"/>
      <x:c r="E282" s="2"/>
      <x:c r="F282" s="2"/>
    </x:row>
    <x:row r="283" ht="23" customHeight="1">
      <x:c r="A283" s="2"/>
      <x:c r="B283" s="2"/>
      <x:c r="C283" s="2"/>
      <x:c r="D283" s="2"/>
      <x:c r="E283" s="2"/>
      <x:c r="F283" s="2"/>
    </x:row>
    <x:row r="284" ht="23" customHeight="1">
      <x:c r="A284" s="2"/>
      <x:c r="B284" s="2"/>
      <x:c r="C284" s="2"/>
      <x:c r="D284" s="2"/>
      <x:c r="E284" s="2"/>
      <x:c r="F284" s="2"/>
    </x:row>
    <x:row r="285" ht="23" customHeight="1">
      <x:c r="A285" s="2"/>
      <x:c r="B285" s="2"/>
      <x:c r="C285" s="2"/>
      <x:c r="D285" s="2"/>
      <x:c r="E285" s="2"/>
      <x:c r="F285" s="2"/>
    </x:row>
    <x:row r="286" ht="23" customHeight="1">
      <x:c r="A286" s="2"/>
      <x:c r="B286" s="2"/>
      <x:c r="C286" s="2"/>
      <x:c r="D286" s="2"/>
      <x:c r="E286" s="2"/>
      <x:c r="F286" s="2"/>
    </x:row>
    <x:row r="287" ht="23" customHeight="1">
      <x:c r="A287" s="2"/>
      <x:c r="B287" s="2"/>
      <x:c r="C287" s="2"/>
      <x:c r="D287" s="2"/>
      <x:c r="E287" s="2"/>
      <x:c r="F287" s="2"/>
    </x:row>
    <x:row r="288" ht="23" customHeight="1">
      <x:c r="A288" s="2"/>
      <x:c r="B288" s="2"/>
      <x:c r="C288" s="2"/>
      <x:c r="D288" s="2"/>
      <x:c r="E288" s="2"/>
      <x:c r="F288" s="2"/>
    </x:row>
    <x:row r="289" ht="23" customHeight="1">
      <x:c r="A289" s="2"/>
      <x:c r="B289" s="2"/>
      <x:c r="C289" s="2"/>
      <x:c r="D289" s="2"/>
      <x:c r="E289" s="2"/>
      <x:c r="F289" s="2"/>
    </x:row>
    <x:row r="290" ht="23" customHeight="1">
      <x:c r="A290" s="2"/>
      <x:c r="B290" s="2"/>
      <x:c r="C290" s="2"/>
      <x:c r="D290" s="2"/>
      <x:c r="E290" s="2"/>
      <x:c r="F290" s="2"/>
    </x:row>
    <x:row r="291" ht="23" customHeight="1">
      <x:c r="A291" s="2"/>
      <x:c r="B291" s="2"/>
      <x:c r="C291" s="2"/>
      <x:c r="D291" s="2"/>
      <x:c r="E291" s="2"/>
      <x:c r="F291" s="2"/>
    </x:row>
    <x:row r="292" ht="23" customHeight="1">
      <x:c r="A292" s="2"/>
      <x:c r="B292" s="2"/>
      <x:c r="C292" s="2"/>
      <x:c r="D292" s="2"/>
      <x:c r="E292" s="2"/>
      <x:c r="F292" s="2"/>
    </x:row>
    <x:row r="293" ht="23" customHeight="1">
      <x:c r="A293" s="2"/>
      <x:c r="B293" s="2"/>
      <x:c r="C293" s="2"/>
      <x:c r="D293" s="2"/>
      <x:c r="E293" s="2"/>
      <x:c r="F293" s="2"/>
    </x:row>
    <x:row r="294" ht="23" customHeight="1">
      <x:c r="A294" s="2"/>
      <x:c r="B294" s="2"/>
      <x:c r="C294" s="2"/>
      <x:c r="D294" s="2"/>
      <x:c r="E294" s="2"/>
      <x:c r="F294" s="2"/>
    </x:row>
    <x:row r="295" ht="23" customHeight="1">
      <x:c r="A295" s="2"/>
      <x:c r="B295" s="2"/>
      <x:c r="C295" s="2"/>
      <x:c r="D295" s="2"/>
      <x:c r="E295" s="2"/>
      <x:c r="F295" s="2"/>
    </x:row>
    <x:row r="296" ht="23" customHeight="1">
      <x:c r="A296" s="2"/>
      <x:c r="B296" s="2"/>
      <x:c r="C296" s="2"/>
      <x:c r="D296" s="2"/>
      <x:c r="E296" s="2"/>
      <x:c r="F296" s="2"/>
    </x:row>
    <x:row r="297" ht="23" customHeight="1">
      <x:c r="A297" s="2"/>
      <x:c r="B297" s="2"/>
      <x:c r="C297" s="2"/>
      <x:c r="D297" s="2"/>
      <x:c r="E297" s="2"/>
      <x:c r="F297" s="2"/>
    </x:row>
    <x:row r="298" ht="23" customHeight="1">
      <x:c r="A298" s="2"/>
      <x:c r="B298" s="2"/>
      <x:c r="C298" s="2"/>
      <x:c r="D298" s="2"/>
      <x:c r="E298" s="2"/>
      <x:c r="F298" s="2"/>
    </x:row>
    <x:row r="299" ht="23" customHeight="1">
      <x:c r="A299" s="2"/>
      <x:c r="B299" s="2"/>
      <x:c r="C299" s="2"/>
      <x:c r="D299" s="2"/>
      <x:c r="E299" s="2"/>
      <x:c r="F299" s="2"/>
    </x:row>
    <x:row r="300" ht="23" customHeight="1">
      <x:c r="A300" s="2"/>
      <x:c r="B300" s="2"/>
      <x:c r="C300" s="2"/>
      <x:c r="D300" s="2"/>
      <x:c r="E300" s="2"/>
      <x:c r="F300" s="2"/>
    </x:row>
    <x:row r="301" ht="23" customHeight="1">
      <x:c r="A301" s="2"/>
      <x:c r="B301" s="2"/>
      <x:c r="C301" s="2"/>
      <x:c r="D301" s="2"/>
      <x:c r="E301" s="2"/>
      <x:c r="F301" s="2"/>
    </x:row>
    <x:row r="302" ht="23" customHeight="1">
      <x:c r="A302" s="2"/>
      <x:c r="B302" s="2"/>
      <x:c r="C302" s="2"/>
      <x:c r="D302" s="2"/>
      <x:c r="E302" s="2"/>
      <x:c r="F302" s="2"/>
    </x:row>
    <x:row r="303" ht="23" customHeight="1">
      <x:c r="A303" s="2"/>
      <x:c r="B303" s="2"/>
      <x:c r="C303" s="2"/>
      <x:c r="D303" s="2"/>
      <x:c r="E303" s="2"/>
      <x:c r="F303" s="2"/>
    </x:row>
    <x:row r="304" ht="23" customHeight="1">
      <x:c r="A304" s="2"/>
      <x:c r="B304" s="2"/>
      <x:c r="C304" s="2"/>
      <x:c r="D304" s="2"/>
      <x:c r="E304" s="2"/>
      <x:c r="F304" s="2"/>
    </x:row>
    <x:row r="305" ht="23" customHeight="1">
      <x:c r="A305" s="2"/>
      <x:c r="B305" s="2"/>
      <x:c r="C305" s="2"/>
      <x:c r="D305" s="2"/>
      <x:c r="E305" s="2"/>
      <x:c r="F305" s="2"/>
    </x:row>
    <x:row r="306" ht="23" customHeight="1">
      <x:c r="A306" s="2"/>
      <x:c r="B306" s="2"/>
      <x:c r="C306" s="2"/>
      <x:c r="D306" s="2"/>
      <x:c r="E306" s="2"/>
      <x:c r="F306" s="2"/>
    </x:row>
    <x:row r="307" ht="23" customHeight="1">
      <x:c r="A307" s="2"/>
      <x:c r="B307" s="2"/>
      <x:c r="C307" s="2"/>
      <x:c r="D307" s="2"/>
      <x:c r="E307" s="2"/>
      <x:c r="F307" s="2"/>
    </x:row>
    <x:row r="308" ht="23" customHeight="1">
      <x:c r="A308" s="2"/>
      <x:c r="B308" s="2"/>
      <x:c r="C308" s="2"/>
      <x:c r="D308" s="2"/>
      <x:c r="E308" s="2"/>
      <x:c r="F308" s="2"/>
    </x:row>
    <x:row r="309" ht="23" customHeight="1">
      <x:c r="A309" s="2"/>
      <x:c r="B309" s="2"/>
      <x:c r="C309" s="2"/>
      <x:c r="D309" s="2"/>
      <x:c r="E309" s="2"/>
      <x:c r="F309" s="2"/>
    </x:row>
    <x:row r="310" ht="23" customHeight="1">
      <x:c r="A310" s="2"/>
      <x:c r="B310" s="2"/>
      <x:c r="C310" s="2"/>
      <x:c r="D310" s="2"/>
      <x:c r="E310" s="2"/>
      <x:c r="F310" s="2"/>
    </x:row>
    <x:row r="311" ht="23" customHeight="1">
      <x:c r="A311" s="2"/>
      <x:c r="B311" s="2"/>
      <x:c r="C311" s="2"/>
      <x:c r="D311" s="2"/>
      <x:c r="E311" s="2"/>
      <x:c r="F311" s="2"/>
    </x:row>
    <x:row r="312" ht="23" customHeight="1">
      <x:c r="A312" s="2"/>
      <x:c r="B312" s="2"/>
      <x:c r="C312" s="2"/>
      <x:c r="D312" s="2"/>
      <x:c r="E312" s="2"/>
      <x:c r="F312" s="2"/>
    </x:row>
    <x:row r="313" ht="23" customHeight="1">
      <x:c r="A313" s="2"/>
      <x:c r="B313" s="2"/>
      <x:c r="C313" s="2"/>
      <x:c r="D313" s="2"/>
      <x:c r="E313" s="2"/>
      <x:c r="F313" s="2"/>
    </x:row>
    <x:row r="314" ht="23" customHeight="1">
      <x:c r="A314" s="2"/>
      <x:c r="B314" s="2"/>
      <x:c r="C314" s="2"/>
      <x:c r="D314" s="2"/>
      <x:c r="E314" s="2"/>
      <x:c r="F314" s="2"/>
    </x:row>
    <x:row r="315" ht="23" customHeight="1">
      <x:c r="A315" s="2"/>
      <x:c r="B315" s="2"/>
      <x:c r="C315" s="2"/>
      <x:c r="D315" s="2"/>
      <x:c r="E315" s="2"/>
      <x:c r="F315" s="2"/>
    </x:row>
    <x:row r="316" ht="23" customHeight="1">
      <x:c r="A316" s="2"/>
      <x:c r="B316" s="2"/>
      <x:c r="C316" s="2"/>
      <x:c r="D316" s="2"/>
      <x:c r="E316" s="2"/>
      <x:c r="F316" s="2"/>
    </x:row>
    <x:row r="317" ht="23" customHeight="1">
      <x:c r="A317" s="2"/>
      <x:c r="B317" s="2"/>
      <x:c r="C317" s="2"/>
      <x:c r="D317" s="2"/>
      <x:c r="E317" s="2"/>
      <x:c r="F317" s="2"/>
    </x:row>
    <x:row r="318" ht="23" customHeight="1">
      <x:c r="A318" s="2"/>
      <x:c r="B318" s="2"/>
      <x:c r="C318" s="2"/>
      <x:c r="D318" s="2"/>
      <x:c r="E318" s="2"/>
      <x:c r="F318" s="2"/>
    </x:row>
    <x:row r="319" ht="23" customHeight="1">
      <x:c r="A319" s="2"/>
      <x:c r="B319" s="2"/>
      <x:c r="C319" s="2"/>
      <x:c r="D319" s="2"/>
      <x:c r="E319" s="2"/>
      <x:c r="F319" s="2"/>
    </x:row>
    <x:row r="320" ht="23" customHeight="1">
      <x:c r="A320" s="2"/>
      <x:c r="B320" s="2"/>
      <x:c r="C320" s="2"/>
      <x:c r="D320" s="2"/>
      <x:c r="E320" s="2"/>
      <x:c r="F320" s="2"/>
    </x:row>
    <x:row r="321" ht="23" customHeight="1">
      <x:c r="A321" s="2"/>
      <x:c r="B321" s="2"/>
      <x:c r="C321" s="2"/>
      <x:c r="D321" s="2"/>
      <x:c r="E321" s="2"/>
      <x:c r="F321" s="2"/>
    </x:row>
    <x:row r="322" ht="23" customHeight="1">
      <x:c r="A322" s="2"/>
      <x:c r="B322" s="2"/>
      <x:c r="C322" s="2"/>
      <x:c r="D322" s="2"/>
      <x:c r="E322" s="2"/>
      <x:c r="F322" s="2"/>
    </x:row>
    <x:row r="323" ht="23" customHeight="1">
      <x:c r="A323" s="2"/>
      <x:c r="B323" s="2"/>
      <x:c r="C323" s="2"/>
      <x:c r="D323" s="2"/>
      <x:c r="E323" s="2"/>
      <x:c r="F323" s="2"/>
    </x:row>
    <x:row r="324" ht="23" customHeight="1">
      <x:c r="A324" s="2"/>
      <x:c r="B324" s="2"/>
      <x:c r="C324" s="2"/>
      <x:c r="D324" s="2"/>
      <x:c r="E324" s="2"/>
      <x:c r="F324" s="2"/>
    </x:row>
    <x:row r="325" ht="23" customHeight="1">
      <x:c r="A325" s="2"/>
      <x:c r="B325" s="2"/>
      <x:c r="C325" s="2"/>
      <x:c r="D325" s="2"/>
      <x:c r="E325" s="2"/>
      <x:c r="F325" s="2"/>
    </x:row>
    <x:row r="326" ht="23" customHeight="1">
      <x:c r="A326" s="2"/>
      <x:c r="B326" s="2"/>
      <x:c r="C326" s="2"/>
      <x:c r="D326" s="2"/>
      <x:c r="E326" s="2"/>
      <x:c r="F326" s="2"/>
    </x:row>
    <x:row r="327" ht="23" customHeight="1">
      <x:c r="A327" s="2"/>
      <x:c r="B327" s="2"/>
      <x:c r="C327" s="2"/>
      <x:c r="D327" s="2"/>
      <x:c r="E327" s="2"/>
      <x:c r="F327" s="2"/>
    </x:row>
    <x:row r="328" ht="23" customHeight="1">
      <x:c r="A328" s="2"/>
      <x:c r="B328" s="2"/>
      <x:c r="C328" s="2"/>
      <x:c r="D328" s="2"/>
      <x:c r="E328" s="2"/>
      <x:c r="F328" s="2"/>
    </x:row>
    <x:row r="329" ht="23" customHeight="1">
      <x:c r="A329" s="2"/>
      <x:c r="B329" s="2"/>
      <x:c r="C329" s="2"/>
      <x:c r="D329" s="2"/>
      <x:c r="E329" s="2"/>
      <x:c r="F329" s="2"/>
    </x:row>
    <x:row r="330" ht="23" customHeight="1">
      <x:c r="A330" s="2"/>
      <x:c r="B330" s="2"/>
      <x:c r="C330" s="2"/>
      <x:c r="D330" s="2"/>
      <x:c r="E330" s="2"/>
      <x:c r="F330" s="2"/>
    </x:row>
    <x:row r="331" ht="23" customHeight="1">
      <x:c r="A331" s="2"/>
      <x:c r="B331" s="2"/>
      <x:c r="C331" s="2"/>
      <x:c r="D331" s="2"/>
      <x:c r="E331" s="2"/>
      <x:c r="F331" s="2"/>
    </x:row>
    <x:row r="332" ht="23" customHeight="1">
      <x:c r="A332" s="2"/>
      <x:c r="B332" s="2"/>
      <x:c r="C332" s="2"/>
      <x:c r="D332" s="2"/>
      <x:c r="E332" s="2"/>
      <x:c r="F332" s="2"/>
    </x:row>
    <x:row r="333" ht="23" customHeight="1">
      <x:c r="A333" s="2"/>
      <x:c r="B333" s="2"/>
      <x:c r="C333" s="2"/>
      <x:c r="D333" s="2"/>
      <x:c r="E333" s="2"/>
      <x:c r="F333" s="2"/>
    </x:row>
    <x:row r="334" ht="23" customHeight="1">
      <x:c r="A334" s="2"/>
      <x:c r="B334" s="2"/>
      <x:c r="C334" s="2"/>
      <x:c r="D334" s="2"/>
      <x:c r="E334" s="2"/>
      <x:c r="F334" s="2"/>
    </x:row>
    <x:row r="335" ht="23" customHeight="1">
      <x:c r="A335" s="2"/>
      <x:c r="B335" s="2"/>
      <x:c r="C335" s="2"/>
      <x:c r="D335" s="2"/>
      <x:c r="E335" s="2"/>
      <x:c r="F335" s="2"/>
    </x:row>
    <x:row r="336" ht="23" customHeight="1">
      <x:c r="A336" s="2"/>
      <x:c r="B336" s="2"/>
      <x:c r="C336" s="2"/>
      <x:c r="D336" s="2"/>
      <x:c r="E336" s="2"/>
      <x:c r="F336" s="2"/>
    </x:row>
    <x:row r="337" ht="23" customHeight="1">
      <x:c r="A337" s="2"/>
      <x:c r="B337" s="2"/>
      <x:c r="C337" s="2"/>
      <x:c r="D337" s="2"/>
      <x:c r="E337" s="2"/>
      <x:c r="F337" s="2"/>
    </x:row>
    <x:row r="338" ht="23" customHeight="1">
      <x:c r="A338" s="2"/>
      <x:c r="B338" s="2"/>
      <x:c r="C338" s="2"/>
      <x:c r="D338" s="2"/>
      <x:c r="E338" s="2"/>
      <x:c r="F338" s="2"/>
    </x:row>
    <x:row r="339" ht="23" customHeight="1">
      <x:c r="A339" s="2"/>
      <x:c r="B339" s="2"/>
      <x:c r="C339" s="2"/>
      <x:c r="D339" s="2"/>
      <x:c r="E339" s="2"/>
      <x:c r="F339" s="2"/>
    </x:row>
    <x:row r="340" ht="23" customHeight="1">
      <x:c r="A340" s="2"/>
      <x:c r="B340" s="2"/>
      <x:c r="C340" s="2"/>
      <x:c r="D340" s="2"/>
      <x:c r="E340" s="2"/>
      <x:c r="F340" s="2"/>
    </x:row>
    <x:row r="341" ht="23" customHeight="1">
      <x:c r="A341" s="2"/>
      <x:c r="B341" s="2"/>
      <x:c r="C341" s="2"/>
      <x:c r="D341" s="2"/>
      <x:c r="E341" s="2"/>
      <x:c r="F341" s="2"/>
    </x:row>
    <x:row r="342" ht="23" customHeight="1">
      <x:c r="A342" s="2"/>
      <x:c r="B342" s="2"/>
      <x:c r="C342" s="2"/>
      <x:c r="D342" s="2"/>
      <x:c r="E342" s="2"/>
      <x:c r="F342" s="2"/>
    </x:row>
    <x:row r="343" ht="23" customHeight="1">
      <x:c r="A343" s="2"/>
      <x:c r="B343" s="2"/>
      <x:c r="C343" s="2"/>
      <x:c r="D343" s="2"/>
      <x:c r="E343" s="2"/>
      <x:c r="F343" s="2"/>
    </x:row>
    <x:row r="344" ht="23" customHeight="1">
      <x:c r="A344" s="2"/>
      <x:c r="B344" s="2"/>
      <x:c r="C344" s="2"/>
      <x:c r="D344" s="2"/>
      <x:c r="E344" s="2"/>
      <x:c r="F344" s="2"/>
    </x:row>
    <x:row r="345" ht="23" customHeight="1">
      <x:c r="A345" s="2"/>
      <x:c r="B345" s="2"/>
      <x:c r="C345" s="2"/>
      <x:c r="D345" s="2"/>
      <x:c r="E345" s="2"/>
      <x:c r="F345" s="2"/>
    </x:row>
    <x:row r="346" ht="23" customHeight="1">
      <x:c r="A346" s="2"/>
      <x:c r="B346" s="2"/>
      <x:c r="C346" s="2"/>
      <x:c r="D346" s="2"/>
      <x:c r="E346" s="2"/>
      <x:c r="F346" s="2"/>
    </x:row>
    <x:row r="347" ht="23" customHeight="1">
      <x:c r="A347" s="2"/>
      <x:c r="B347" s="2"/>
      <x:c r="C347" s="2"/>
      <x:c r="D347" s="2"/>
      <x:c r="E347" s="2"/>
      <x:c r="F347" s="2"/>
    </x:row>
    <x:row r="348" ht="23" customHeight="1">
      <x:c r="A348" s="2"/>
      <x:c r="B348" s="2"/>
      <x:c r="C348" s="2"/>
      <x:c r="D348" s="2"/>
      <x:c r="E348" s="2"/>
      <x:c r="F348" s="2"/>
    </x:row>
    <x:row r="349" ht="23" customHeight="1">
      <x:c r="A349" s="2"/>
      <x:c r="B349" s="2"/>
      <x:c r="C349" s="2"/>
      <x:c r="D349" s="2"/>
      <x:c r="E349" s="2"/>
      <x:c r="F349" s="2"/>
    </x:row>
    <x:row r="350" ht="23" customHeight="1">
      <x:c r="A350" s="2"/>
      <x:c r="B350" s="2"/>
      <x:c r="C350" s="2"/>
      <x:c r="D350" s="2"/>
      <x:c r="E350" s="2"/>
      <x:c r="F350" s="2"/>
    </x:row>
    <x:row r="351" ht="23" customHeight="1">
      <x:c r="A351" s="2"/>
      <x:c r="B351" s="2"/>
      <x:c r="C351" s="2"/>
      <x:c r="D351" s="2"/>
      <x:c r="E351" s="2"/>
      <x:c r="F351" s="2"/>
    </x:row>
    <x:row r="352" ht="23" customHeight="1">
      <x:c r="A352" s="2"/>
      <x:c r="B352" s="2"/>
      <x:c r="C352" s="2"/>
      <x:c r="D352" s="2"/>
      <x:c r="E352" s="2"/>
      <x:c r="F352" s="2"/>
    </x:row>
    <x:row r="353" ht="23" customHeight="1">
      <x:c r="A353" s="2"/>
      <x:c r="B353" s="2"/>
      <x:c r="C353" s="2"/>
      <x:c r="D353" s="2"/>
      <x:c r="E353" s="2"/>
      <x:c r="F353" s="2"/>
    </x:row>
    <x:row r="354" ht="23" customHeight="1">
      <x:c r="A354" s="2"/>
      <x:c r="B354" s="2"/>
      <x:c r="C354" s="2"/>
      <x:c r="D354" s="2"/>
      <x:c r="E354" s="2"/>
      <x:c r="F354" s="2"/>
    </x:row>
    <x:row r="355" ht="23" customHeight="1">
      <x:c r="A355" s="2"/>
      <x:c r="B355" s="2"/>
      <x:c r="C355" s="2"/>
      <x:c r="D355" s="2"/>
      <x:c r="E355" s="2"/>
      <x:c r="F355" s="2"/>
    </x:row>
    <x:row r="356" ht="23" customHeight="1">
      <x:c r="A356" s="2"/>
      <x:c r="B356" s="2"/>
      <x:c r="C356" s="2"/>
      <x:c r="D356" s="2"/>
      <x:c r="E356" s="2"/>
      <x:c r="F356" s="2"/>
    </x:row>
    <x:row r="357" ht="23" customHeight="1">
      <x:c r="A357" s="2"/>
      <x:c r="B357" s="2"/>
      <x:c r="C357" s="2"/>
      <x:c r="D357" s="2"/>
      <x:c r="E357" s="2"/>
      <x:c r="F357" s="2"/>
    </x:row>
    <x:row r="358" ht="23" customHeight="1">
      <x:c r="A358" s="2"/>
      <x:c r="B358" s="2"/>
      <x:c r="C358" s="2"/>
      <x:c r="D358" s="2"/>
      <x:c r="E358" s="2"/>
      <x:c r="F358" s="2"/>
    </x:row>
    <x:row r="359" ht="23" customHeight="1">
      <x:c r="A359" s="2"/>
      <x:c r="B359" s="2"/>
      <x:c r="C359" s="2"/>
      <x:c r="D359" s="2"/>
      <x:c r="E359" s="2"/>
      <x:c r="F359" s="2"/>
    </x:row>
    <x:row r="360" ht="23" customHeight="1">
      <x:c r="A360" s="2"/>
      <x:c r="B360" s="2"/>
      <x:c r="C360" s="2"/>
      <x:c r="D360" s="2"/>
      <x:c r="E360" s="2"/>
      <x:c r="F360" s="2"/>
    </x:row>
    <x:row r="361" ht="23" customHeight="1">
      <x:c r="A361" s="2"/>
      <x:c r="B361" s="2"/>
      <x:c r="C361" s="2"/>
      <x:c r="D361" s="2"/>
      <x:c r="E361" s="2"/>
      <x:c r="F361" s="2"/>
    </x:row>
    <x:row r="362" ht="23" customHeight="1">
      <x:c r="A362" s="2"/>
      <x:c r="B362" s="2"/>
      <x:c r="C362" s="2"/>
      <x:c r="D362" s="2"/>
      <x:c r="E362" s="2"/>
      <x:c r="F362" s="2"/>
    </x:row>
    <x:row r="363" ht="23" customHeight="1">
      <x:c r="A363" s="2"/>
      <x:c r="B363" s="2"/>
      <x:c r="C363" s="2"/>
      <x:c r="D363" s="2"/>
      <x:c r="E363" s="2"/>
      <x:c r="F363" s="2"/>
    </x:row>
    <x:row r="364" ht="23" customHeight="1">
      <x:c r="A364" s="2"/>
      <x:c r="B364" s="2"/>
      <x:c r="C364" s="2"/>
      <x:c r="D364" s="2"/>
      <x:c r="E364" s="2"/>
      <x:c r="F364" s="2"/>
    </x:row>
    <x:row r="365" ht="23" customHeight="1">
      <x:c r="A365" s="2"/>
      <x:c r="B365" s="2"/>
      <x:c r="C365" s="2"/>
      <x:c r="D365" s="2"/>
      <x:c r="E365" s="2"/>
      <x:c r="F365" s="2"/>
    </x:row>
    <x:row r="366" ht="23" customHeight="1">
      <x:c r="A366" s="2"/>
      <x:c r="B366" s="2"/>
      <x:c r="C366" s="2"/>
      <x:c r="D366" s="2"/>
      <x:c r="E366" s="2"/>
      <x:c r="F366" s="2"/>
    </x:row>
    <x:row r="367" ht="23" customHeight="1">
      <x:c r="A367" s="2"/>
      <x:c r="B367" s="2"/>
      <x:c r="C367" s="2"/>
      <x:c r="D367" s="2"/>
      <x:c r="E367" s="2"/>
      <x:c r="F367" s="2"/>
    </x:row>
    <x:row r="368" ht="23" customHeight="1">
      <x:c r="A368" s="2"/>
      <x:c r="B368" s="2"/>
      <x:c r="C368" s="2"/>
      <x:c r="D368" s="2"/>
      <x:c r="E368" s="2"/>
      <x:c r="F368" s="2"/>
    </x:row>
    <x:row r="369" ht="23" customHeight="1">
      <x:c r="A369" s="2"/>
      <x:c r="B369" s="2"/>
      <x:c r="C369" s="2"/>
      <x:c r="D369" s="2"/>
      <x:c r="E369" s="2"/>
      <x:c r="F369" s="2"/>
    </x:row>
    <x:row r="370" ht="23" customHeight="1">
      <x:c r="A370" s="2"/>
      <x:c r="B370" s="2"/>
      <x:c r="C370" s="2"/>
      <x:c r="D370" s="2"/>
      <x:c r="E370" s="2"/>
      <x:c r="F370" s="2"/>
    </x:row>
    <x:row r="371" ht="23" customHeight="1">
      <x:c r="A371" s="2"/>
      <x:c r="B371" s="2"/>
      <x:c r="C371" s="2"/>
      <x:c r="D371" s="2"/>
      <x:c r="E371" s="2"/>
      <x:c r="F371" s="2"/>
    </x:row>
    <x:row r="372" ht="23" customHeight="1">
      <x:c r="A372" s="2"/>
      <x:c r="B372" s="2"/>
      <x:c r="C372" s="2"/>
      <x:c r="D372" s="2"/>
      <x:c r="E372" s="2"/>
      <x:c r="F372" s="2"/>
    </x:row>
    <x:row r="373" ht="23" customHeight="1">
      <x:c r="A373" s="2"/>
      <x:c r="B373" s="2"/>
      <x:c r="C373" s="2"/>
      <x:c r="D373" s="2"/>
      <x:c r="E373" s="2"/>
      <x:c r="F373" s="2"/>
    </x:row>
    <x:row r="374" ht="23" customHeight="1">
      <x:c r="A374" s="2"/>
      <x:c r="B374" s="2"/>
      <x:c r="C374" s="2"/>
      <x:c r="D374" s="2"/>
      <x:c r="E374" s="2"/>
      <x:c r="F374" s="2"/>
    </x:row>
    <x:row r="375" ht="23" customHeight="1">
      <x:c r="A375" s="2"/>
      <x:c r="B375" s="2"/>
      <x:c r="C375" s="2"/>
      <x:c r="D375" s="2"/>
      <x:c r="E375" s="2"/>
      <x:c r="F375" s="2"/>
    </x:row>
    <x:row r="376" ht="23" customHeight="1">
      <x:c r="A376" s="2"/>
      <x:c r="B376" s="2"/>
      <x:c r="C376" s="2"/>
      <x:c r="D376" s="2"/>
      <x:c r="E376" s="2"/>
      <x:c r="F376" s="2"/>
    </x:row>
    <x:row r="377" ht="23" customHeight="1">
      <x:c r="A377" s="2"/>
      <x:c r="B377" s="2"/>
      <x:c r="C377" s="2"/>
      <x:c r="D377" s="2"/>
      <x:c r="E377" s="2"/>
      <x:c r="F377" s="2"/>
    </x:row>
    <x:row r="378" ht="23" customHeight="1">
      <x:c r="A378" s="2"/>
      <x:c r="B378" s="2"/>
      <x:c r="C378" s="2"/>
      <x:c r="D378" s="2"/>
      <x:c r="E378" s="2"/>
      <x:c r="F378" s="2"/>
    </x:row>
    <x:row r="379" ht="23" customHeight="1">
      <x:c r="A379" s="2"/>
      <x:c r="B379" s="2"/>
      <x:c r="C379" s="2"/>
      <x:c r="D379" s="2"/>
      <x:c r="E379" s="2"/>
      <x:c r="F379" s="2"/>
    </x:row>
    <x:row r="380" ht="23" customHeight="1">
      <x:c r="A380" s="2"/>
      <x:c r="B380" s="2"/>
      <x:c r="C380" s="2"/>
      <x:c r="D380" s="2"/>
      <x:c r="E380" s="2"/>
      <x:c r="F380" s="2"/>
    </x:row>
    <x:row r="381" ht="23" customHeight="1">
      <x:c r="A381" s="2"/>
      <x:c r="B381" s="2"/>
      <x:c r="C381" s="2"/>
      <x:c r="D381" s="2"/>
      <x:c r="E381" s="2"/>
      <x:c r="F381" s="2"/>
    </x:row>
    <x:row r="382" ht="23" customHeight="1">
      <x:c r="A382" s="2"/>
      <x:c r="B382" s="2"/>
      <x:c r="C382" s="2"/>
      <x:c r="D382" s="2"/>
      <x:c r="E382" s="2"/>
      <x:c r="F382" s="2"/>
    </x:row>
    <x:row r="383" ht="23" customHeight="1">
      <x:c r="A383" s="2"/>
      <x:c r="B383" s="2"/>
      <x:c r="C383" s="2"/>
      <x:c r="D383" s="2"/>
      <x:c r="E383" s="2"/>
      <x:c r="F383" s="2"/>
    </x:row>
    <x:row r="384" ht="23" customHeight="1">
      <x:c r="A384" s="2"/>
      <x:c r="B384" s="2"/>
      <x:c r="C384" s="2"/>
      <x:c r="D384" s="2"/>
      <x:c r="E384" s="2"/>
      <x:c r="F384" s="2"/>
    </x:row>
    <x:row r="385" ht="23" customHeight="1">
      <x:c r="A385" s="2"/>
      <x:c r="B385" s="2"/>
      <x:c r="C385" s="2"/>
      <x:c r="D385" s="2"/>
      <x:c r="E385" s="2"/>
      <x:c r="F385" s="2"/>
    </x:row>
    <x:row r="386" ht="23" customHeight="1">
      <x:c r="A386" s="2"/>
      <x:c r="B386" s="2"/>
      <x:c r="C386" s="2"/>
      <x:c r="D386" s="2"/>
      <x:c r="E386" s="2"/>
      <x:c r="F386" s="2"/>
    </x:row>
    <x:row r="387" ht="23" customHeight="1">
      <x:c r="A387" s="2"/>
      <x:c r="B387" s="2"/>
      <x:c r="C387" s="2"/>
      <x:c r="D387" s="2"/>
      <x:c r="E387" s="2"/>
      <x:c r="F387" s="2"/>
    </x:row>
    <x:row r="388" ht="23" customHeight="1">
      <x:c r="A388" s="2"/>
      <x:c r="B388" s="2"/>
      <x:c r="C388" s="2"/>
      <x:c r="D388" s="2"/>
      <x:c r="E388" s="2"/>
      <x:c r="F388" s="2"/>
    </x:row>
    <x:row r="389" ht="23" customHeight="1">
      <x:c r="A389" s="2"/>
      <x:c r="B389" s="2"/>
      <x:c r="C389" s="2"/>
      <x:c r="D389" s="2"/>
      <x:c r="E389" s="2"/>
      <x:c r="F389" s="2"/>
    </x:row>
    <x:row r="390" ht="23" customHeight="1">
      <x:c r="A390" s="2"/>
      <x:c r="B390" s="2"/>
      <x:c r="C390" s="2"/>
      <x:c r="D390" s="2"/>
      <x:c r="E390" s="2"/>
      <x:c r="F390" s="2"/>
    </x:row>
    <x:row r="391" ht="23" customHeight="1">
      <x:c r="A391" s="2"/>
      <x:c r="B391" s="2"/>
      <x:c r="C391" s="2"/>
      <x:c r="D391" s="2"/>
      <x:c r="E391" s="2"/>
      <x:c r="F391" s="2"/>
    </x:row>
    <x:row r="392" ht="23" customHeight="1">
      <x:c r="A392" s="2"/>
      <x:c r="B392" s="2"/>
      <x:c r="C392" s="2"/>
      <x:c r="D392" s="2"/>
      <x:c r="E392" s="2"/>
      <x:c r="F392" s="2"/>
    </x:row>
    <x:row r="393" ht="23" customHeight="1">
      <x:c r="A393" s="2"/>
      <x:c r="B393" s="2"/>
      <x:c r="C393" s="2"/>
      <x:c r="D393" s="2"/>
      <x:c r="E393" s="2"/>
      <x:c r="F393" s="2"/>
    </x:row>
    <x:row r="394" ht="23" customHeight="1">
      <x:c r="A394" s="2"/>
      <x:c r="B394" s="2"/>
      <x:c r="C394" s="2"/>
      <x:c r="D394" s="2"/>
      <x:c r="E394" s="2"/>
      <x:c r="F394" s="2"/>
    </x:row>
    <x:row r="395" ht="23" customHeight="1">
      <x:c r="A395" s="2"/>
      <x:c r="B395" s="2"/>
      <x:c r="C395" s="2"/>
      <x:c r="D395" s="2"/>
      <x:c r="E395" s="2"/>
      <x:c r="F395" s="2"/>
    </x:row>
    <x:row r="396" ht="23" customHeight="1">
      <x:c r="A396" s="2"/>
      <x:c r="B396" s="2"/>
      <x:c r="C396" s="2"/>
      <x:c r="D396" s="2"/>
      <x:c r="E396" s="2"/>
      <x:c r="F396" s="2"/>
    </x:row>
    <x:row r="397" ht="23" customHeight="1">
      <x:c r="A397" s="2"/>
      <x:c r="B397" s="2"/>
      <x:c r="C397" s="2"/>
      <x:c r="D397" s="2"/>
      <x:c r="E397" s="2"/>
      <x:c r="F397" s="2"/>
    </x:row>
    <x:row r="398" ht="23" customHeight="1">
      <x:c r="A398" s="2"/>
      <x:c r="B398" s="2"/>
      <x:c r="C398" s="2"/>
      <x:c r="D398" s="2"/>
      <x:c r="E398" s="2"/>
      <x:c r="F398" s="2"/>
    </x:row>
    <x:row r="399" ht="23" customHeight="1">
      <x:c r="A399" s="2"/>
      <x:c r="B399" s="2"/>
      <x:c r="C399" s="2"/>
      <x:c r="D399" s="2"/>
      <x:c r="E399" s="2"/>
      <x:c r="F399" s="2"/>
    </x:row>
    <x:row r="400" ht="23" customHeight="1">
      <x:c r="A400" s="2"/>
      <x:c r="B400" s="2"/>
      <x:c r="C400" s="2"/>
      <x:c r="D400" s="2"/>
      <x:c r="E400" s="2"/>
      <x:c r="F400" s="2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台积电：收入、利润与股东回报</x:v>
      </x:c>
      <x:c r="B1" s="4"/>
      <x:c r="C1" s="4"/>
      <x:c r="D1" s="4"/>
      <x:c r="E1" s="4"/>
    </x:row>
    <x:row r="2" ht="30" customHeight="1">
      <x:c r="A2" s="5" t="str">
        <x:v>金额：百万 TWD；股数：百万股；EPS 与价格：TWD/股。所有情景均为研究假设。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2330.TW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'行情'!B6</x:f>
        <x:v>2410</x:v>
      </x:c>
      <x:c r="C5" s="10"/>
      <x:c r="D5" s="10"/>
      <x:c r="E5" s="10" t="str">
        <x:v>Yahoo日线未调整收盘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v>5400000</x:v>
      </x:c>
      <x:c r="C10" s="39" t="n">
        <x:v>5400000</x:v>
      </x:c>
      <x:c r="D10" s="39" t="n">
        <x:v>5400000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0.12</x:v>
      </x:c>
      <x:c r="C11" s="43" t="n">
        <x:v>0.25</x:v>
      </x:c>
      <x:c r="D11" s="43" t="n">
        <x:v>0.3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6048000.000000001</x:v>
      </x:c>
      <x:c r="C12" s="41" t="n">
        <x:f>C10*(1+C11)</x:f>
        <x:v>6750000</x:v>
      </x:c>
      <x:c r="D12" s="41" t="n">
        <x:f>D10*(1+D11)</x:f>
        <x:v>7020000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0.08</x:v>
      </x:c>
      <x:c r="C13" s="43" t="n">
        <x:v>0.18</x:v>
      </x:c>
      <x:c r="D13" s="43" t="n">
        <x:v>0.25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6531840.000000002</x:v>
      </x:c>
      <x:c r="C14" s="41" t="n">
        <x:f>C12*(1+C13)</x:f>
        <x:v>7965000</x:v>
      </x:c>
      <x:c r="D14" s="41" t="n">
        <x:f>D12*(1+D13)</x:f>
        <x:v>8775000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0.45</x:v>
      </x:c>
      <x:c r="C15" s="43" t="n">
        <x:v>0.55</x:v>
      </x:c>
      <x:c r="D15" s="43" t="n">
        <x:v>0.59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2939328.000000001</x:v>
      </x:c>
      <x:c r="C16" s="41" t="n">
        <x:f>C14*C15</x:f>
        <x:v>4380750</x:v>
      </x:c>
      <x:c r="D16" s="41" t="n">
        <x:f>D14*D15</x:f>
        <x:v>5177250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50000</x:v>
      </x:c>
      <x:c r="C17" s="40" t="n">
        <x:v>70000</x:v>
      </x:c>
      <x:c r="D17" s="40" t="n">
        <x:v>90000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</x:v>
      </x:c>
      <x:c r="C18" s="44" t="n">
        <x:v>0.2</x:v>
      </x:c>
      <x:c r="D18" s="44" t="n">
        <x:v>0.18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2391462.400000001</x:v>
      </x:c>
      <x:c r="C19" s="42" t="n">
        <x:f>(C16+C17)*(1-C18)*(1-C36)</x:f>
        <x:v>3560600</x:v>
      </x:c>
      <x:c r="D19" s="42" t="n">
        <x:f>(D16+D17)*(1-D18)*(1-D36)</x:f>
        <x:v>4319145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26000</x:v>
      </x:c>
      <x:c r="C20" s="39" t="n">
        <x:v>25930</x:v>
      </x:c>
      <x:c r="D20" s="39" t="n">
        <x:v>25850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91.97932307692311</x:v>
      </x:c>
      <x:c r="C21" s="42" t="n">
        <x:f>C19/C20</x:f>
        <x:v>137.315850366371</x:v>
      </x:c>
      <x:c r="D21" s="42" t="n">
        <x:f>D19/D20</x:f>
        <x:v>167.08491295938106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1450000</x:v>
      </x:c>
      <x:c r="C22" s="39" t="n">
        <x:v>1600000</x:v>
      </x:c>
      <x:c r="D22" s="39" t="n">
        <x:v>1700000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2050000</x:v>
      </x:c>
      <x:c r="C23" s="40" t="n">
        <x:v>2150000</x:v>
      </x:c>
      <x:c r="D23" s="40" t="n">
        <x:v>2300000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100000</x:v>
      </x:c>
      <x:c r="C24" s="39" t="n">
        <x:v>170000</x:v>
      </x:c>
      <x:c r="D24" s="39" t="n">
        <x:v>200000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1691462.4000000008</x:v>
      </x:c>
      <x:c r="C25" s="42" t="n">
        <x:f>C19+C22-C23-C24</x:f>
        <x:v>2840600</x:v>
      </x:c>
      <x:c r="D25" s="42" t="n">
        <x:f>D19+D22-D23-D24</x:f>
        <x:v>3519145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0.02699429300989468</x:v>
      </x:c>
      <x:c r="C26" s="45" t="n">
        <x:f>C25/($B$5*C20)</x:f>
        <x:v>0.045455927465103144</x:v>
      </x:c>
      <x:c r="D26" s="45" t="n">
        <x:f>D25/($B$5*D20)</x:f>
        <x:v>0.056488438726454086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20</x:v>
      </x:c>
      <x:c r="C27" s="40" t="n">
        <x:v>24</x:v>
      </x:c>
      <x:c r="D27" s="40" t="n">
        <x:v>29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1839.5864615384621</x:v>
      </x:c>
      <x:c r="C28" s="41" t="n">
        <x:f>C21*C27</x:f>
        <x:v>3295.5804087929037</x:v>
      </x:c>
      <x:c r="D28" s="41" t="n">
        <x:f>D21*D27</x:f>
        <x:v>4845.462475822051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48</x:v>
      </x:c>
      <x:c r="C29" s="40" t="n">
        <x:v>52</x:v>
      </x:c>
      <x:c r="D29" s="40" t="n">
        <x:v>60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-0.21676910309607378</x:v>
      </x:c>
      <x:c r="C30" s="45" t="n">
        <x:f>(C28+C29)/$B$5-1</x:f>
        <x:v>0.38903751402195175</x:v>
      </x:c>
      <x:c r="D30" s="45" t="n">
        <x:f>(D28+D29)/$B$5-1</x:f>
        <x:v>1.0354616082249173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-0.11499666842213174</x:v>
      </x:c>
      <x:c r="C31" s="51" t="n">
        <x:f>(1+C30)^(1/$B$6)-1</x:f>
        <x:v>0.17857435659442022</x:v>
      </x:c>
      <x:c r="D31" s="51" t="n">
        <x:f>(1+D30)^(1/$B$6)-1</x:f>
        <x:v>0.42669604619376345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1427.2865493674574</x:v>
      </x:c>
      <x:c r="C32" s="52" t="n">
        <x:f>(C28+C29)/(1+$B$7)^$B$6</x:f>
        <x:v>2531.251726875542</x:v>
      </x:c>
      <x:c r="D32" s="52" t="n">
        <x:f>(D28+D29)/(1+$B$7)^$B$6</x:f>
        <x:v>3709.234386254859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156.96124999999998</x:v>
      </x:c>
      <x:c r="C33" s="42" t="n">
        <x:f>($B$5*(1+$B$7)^$B$6-C29)/C27</x:f>
        <x:v>130.63437499999998</x:v>
      </x:c>
      <x:c r="D33" s="42" t="n">
        <x:f>($B$5*(1+$B$7)^$B$6-D29)/D27</x:f>
        <x:v>107.83534482758618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0.7733258354460608</x:v>
      </x:c>
      <x:c r="C34" s="45" t="n">
        <x:f>(C33*C20/((1-C18)*(1-C36))-C17)/C14</x:f>
        <x:v>0.5228106314736345</x:v>
      </x:c>
      <x:c r="D34" s="45" t="n">
        <x:f>(D33*D20/((1-D18)*(1-D36))-D17)/D14</x:f>
        <x:v>0.3771445575419502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26.20154094833353</x:v>
      </x:c>
      <x:c r="C35" s="42" t="n">
        <x:f>$B$5/C21</x:f>
        <x:v>17.550777958770993</x:v>
      </x:c>
      <x:c r="D35" s="42" t="n">
        <x:f>$B$5/D21</x:f>
        <x:v>14.423803785239901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</x:v>
      </x:c>
      <x:c r="C36" s="44" t="n">
        <x:v>0</x:v>
      </x:c>
      <x:c r="D36" s="44" t="n">
        <x:v>0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2026E 营收 5.40 万亿元；研究估算。
2025 实绩 3.809 万亿元；H1 为 2.404 万亿元。
对应全年增长约 41.8%，接近管理层美元增长口径。</x:v>
      </x:c>
      <x:c r="B38" s="9"/>
      <x:c r="C38" s="9"/>
      <x:c r="D38" s="9"/>
      <x:c r="E38" s="9"/>
    </x:row>
    <x:row r="39" ht="99" customHeight="1">
      <x:c r="A39" s="9" t="str">
        <x:v>基准营收增长 25% / 18%，由产能爬坡和先进节点组合共同支持。
2028 营业利润率 55%，低于 Q2 的 60.3%；反映海外成本与折旧。
净利息保留 700 亿元；剔除 VIS 重估等其他损益。
退出 24 倍：制造壁垒给予溢价，台湾风险限制倍数。</x:v>
      </x:c>
      <x:c r="B39" s="9"/>
      <x:c r="C39" s="9"/>
      <x:c r="D39" s="9"/>
      <x:c r="E39" s="9"/>
    </x:row>
    <x:row r="40" ht="75" customHeight="1">
      <x:c r="A40" s="9" t="str">
        <x:v>资本开支包含有形和无形资产。
基准开支约 678 亿美元，按研究日汇率换算。
不把账面净现金再次加到市盈率估值。</x:v>
      </x:c>
      <x:c r="B40" s="9"/>
      <x:c r="C40" s="9"/>
      <x:c r="D40" s="9"/>
      <x:c r="E40" s="9"/>
    </x:row>
    <x:row r="41" ht="53" customHeight="1">
      <x:c r="A41" s="9" t="str">
        <x:v>台湾地缘尾部风险可超过悲观情景。
2027 扩产、海外成本或封装分流可能压低利润率。</x:v>
      </x:c>
      <x:c r="B41" s="9"/>
      <x:c r="C41" s="9"/>
      <x:c r="D41" s="9"/>
      <x:c r="E41" s="9"/>
    </x:row>
    <x:row r="42" ht="32" customHeight="1">
      <x:c r="A42" s="9" t="str">
        <x:v>来源：SEMI08 / SEMI09 / F01；情景增长、利润率、倍数、股数、股息均为本研究假设。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NVIDIA：收入、利润与股东回报</x:v>
      </x:c>
      <x:c r="B1" s="4"/>
      <x:c r="C1" s="4"/>
      <x:c r="D1" s="4"/>
      <x:c r="E1" s="4"/>
    </x:row>
    <x:row r="2" ht="30" customHeight="1">
      <x:c r="A2" s="5" t="str">
        <x:v>金额：百万 USD；股数：百万股；EPS 与价格：USD/股。所有情景均为研究假设。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NVDA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'行情'!B13</x:f>
        <x:v>230.36</x:v>
      </x:c>
      <x:c r="C5" s="10"/>
      <x:c r="D5" s="10"/>
      <x:c r="E5" s="10" t="str">
        <x:v>Yahoo日线未调整收盘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v>380000</x:v>
      </x:c>
      <x:c r="C10" s="39" t="n">
        <x:v>380000</x:v>
      </x:c>
      <x:c r="D10" s="39" t="n">
        <x:v>380000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0.1</x:v>
      </x:c>
      <x:c r="C11" s="43" t="n">
        <x:v>0.3</x:v>
      </x:c>
      <x:c r="D11" s="43" t="n">
        <x:v>0.4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418000.00000000006</x:v>
      </x:c>
      <x:c r="C12" s="41" t="n">
        <x:f>C10*(1+C11)</x:f>
        <x:v>494000</x:v>
      </x:c>
      <x:c r="D12" s="41" t="n">
        <x:f>D10*(1+D11)</x:f>
        <x:v>532000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-0.05</x:v>
      </x:c>
      <x:c r="C13" s="43" t="n">
        <x:v>0.2</x:v>
      </x:c>
      <x:c r="D13" s="43" t="n">
        <x:v>0.3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397100.00000000006</x:v>
      </x:c>
      <x:c r="C14" s="41" t="n">
        <x:f>C12*(1+C13)</x:f>
        <x:v>592800</x:v>
      </x:c>
      <x:c r="D14" s="41" t="n">
        <x:f>D12*(1+D13)</x:f>
        <x:v>691600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0.45</x:v>
      </x:c>
      <x:c r="C15" s="43" t="n">
        <x:v>0.58</x:v>
      </x:c>
      <x:c r="D15" s="43" t="n">
        <x:v>0.63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178695.00000000003</x:v>
      </x:c>
      <x:c r="C16" s="41" t="n">
        <x:f>C14*C15</x:f>
        <x:v>343824</x:v>
      </x:c>
      <x:c r="D16" s="41" t="n">
        <x:f>D14*D15</x:f>
        <x:v>435708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1000</x:v>
      </x:c>
      <x:c r="C17" s="40" t="n">
        <x:v>2000</x:v>
      </x:c>
      <x:c r="D17" s="40" t="n">
        <x:v>3000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</x:v>
      </x:c>
      <x:c r="C18" s="44" t="n">
        <x:v>0.18</x:v>
      </x:c>
      <x:c r="D18" s="44" t="n">
        <x:v>0.17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143756.00000000003</x:v>
      </x:c>
      <x:c r="C19" s="42" t="n">
        <x:f>(C16+C17)*(1-C18)*(1-C36)</x:f>
        <x:v>283575.68</x:v>
      </x:c>
      <x:c r="D19" s="42" t="n">
        <x:f>(D16+D17)*(1-D18)*(1-D36)</x:f>
        <x:v>364127.63999999996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24500</x:v>
      </x:c>
      <x:c r="C20" s="39" t="n">
        <x:v>24000</x:v>
      </x:c>
      <x:c r="D20" s="39" t="n">
        <x:v>23500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5.867591836734695</x:v>
      </x:c>
      <x:c r="C21" s="42" t="n">
        <x:f>C19/C20</x:f>
        <x:v>11.815653333333334</x:v>
      </x:c>
      <x:c r="D21" s="42" t="n">
        <x:f>D19/D20</x:f>
        <x:v>15.494793191489359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9000</x:v>
      </x:c>
      <x:c r="C22" s="39" t="n">
        <x:v>12000</x:v>
      </x:c>
      <x:c r="D22" s="39" t="n">
        <x:v>14000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13000</x:v>
      </x:c>
      <x:c r="C23" s="40" t="n">
        <x:v>16000</x:v>
      </x:c>
      <x:c r="D23" s="40" t="n">
        <x:v>20000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18000</x:v>
      </x:c>
      <x:c r="C24" s="39" t="n">
        <x:v>26000</x:v>
      </x:c>
      <x:c r="D24" s="39" t="n">
        <x:v>35000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121756.00000000003</x:v>
      </x:c>
      <x:c r="C25" s="42" t="n">
        <x:f>C19+C22-C23-C24</x:f>
        <x:v>253575.68</x:v>
      </x:c>
      <x:c r="D25" s="42" t="n">
        <x:f>D19+D22-D23-D24</x:f>
        <x:v>323127.63999999996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0.021573331537859116</x:v>
      </x:c>
      <x:c r="C26" s="45" t="n">
        <x:f>C25/($B$5*C20)</x:f>
        <x:v>0.045865833188632285</x:v>
      </x:c>
      <x:c r="D26" s="45" t="n">
        <x:f>D25/($B$5*D20)</x:f>
        <x:v>0.05968966982299674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20</x:v>
      </x:c>
      <x:c r="C27" s="40" t="n">
        <x:v>25</x:v>
      </x:c>
      <x:c r="D27" s="40" t="n">
        <x:v>30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117.3518367346939</x:v>
      </x:c>
      <x:c r="C28" s="41" t="n">
        <x:f>C21*C27</x:f>
        <x:v>295.39133333333336</x:v>
      </x:c>
      <x:c r="D28" s="41" t="n">
        <x:f>D21*D27</x:f>
        <x:v>464.8437957446808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0.5</x:v>
      </x:c>
      <x:c r="C29" s="40" t="n">
        <x:v>0.8</x:v>
      </x:c>
      <x:c r="D29" s="40" t="n">
        <x:v>1.2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-0.4884014727613566</x:v>
      </x:c>
      <x:c r="C30" s="45" t="n">
        <x:f>(C28+C29)/$B$5-1</x:f>
        <x:v>0.28577588701742207</x:v>
      </x:c>
      <x:c r="D30" s="45" t="n">
        <x:f>(D28+D29)/$B$5-1</x:f>
        <x:v>1.0231107646495952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-0.28473883983635506</x:v>
      </x:c>
      <x:c r="C31" s="51" t="n">
        <x:f>(1+C30)^(1/$B$6)-1</x:f>
        <x:v>0.13392058232374549</x:v>
      </x:c>
      <x:c r="D31" s="51" t="n">
        <x:f>(1+D30)^(1/$B$6)-1</x:f>
        <x:v>0.42236098253910037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89.1129200262336</x:v>
      </x:c>
      <x:c r="C32" s="52" t="n">
        <x:f>(C28+C29)/(1+$B$7)^$B$6</x:f>
        <x:v>223.96320100819162</x:v>
      </x:c>
      <x:c r="D32" s="52" t="n">
        <x:f>(D28+D29)/(1+$B$7)^$B$6</x:f>
        <x:v>352.3960648352974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15.207555</x:v>
      </x:c>
      <x:c r="C33" s="42" t="n">
        <x:f>($B$5*(1+$B$7)^$B$6-C29)/C27</x:f>
        <x:v>12.154043999999999</x:v>
      </x:c>
      <x:c r="D33" s="42" t="n">
        <x:f>($B$5*(1+$B$7)^$B$6-D29)/D27</x:f>
        <x:v>10.115036666666667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1.1703132003903296</x:v>
      </x:c>
      <x:c r="C34" s="45" t="n">
        <x:f>(C33*C20/((1-C18)*(1-C36))-C17)/C14</x:f>
        <x:v>0.5967073499884795</x:v>
      </x:c>
      <x:c r="D34" s="45" t="n">
        <x:f>(D33*D20/((1-D18)*(1-D36))-D17)/D14</x:f>
        <x:v>0.40975938746309704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39.259717855254735</x:v>
      </x:c>
      <x:c r="C35" s="42" t="n">
        <x:f>$B$5/C21</x:f>
        <x:v>19.496171180829048</x:v>
      </x:c>
      <x:c r="D35" s="42" t="n">
        <x:f>$B$5/D21</x:f>
        <x:v>14.866929629401385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</x:v>
      </x:c>
      <x:c r="C36" s="44" t="n">
        <x:v>0</x:v>
      </x:c>
      <x:c r="D36" s="44" t="n">
        <x:v>0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日历 2026E 收入 3,800 亿美元；研究估算。
Q2 FY27 收入年化为 3,848.84 亿美元，仅供量级参照。
Q3 FY27 收入指引为 1,080 亿美元。</x:v>
      </x:c>
      <x:c r="B38" s="9"/>
      <x:c r="C38" s="9"/>
      <x:c r="D38" s="9"/>
      <x:c r="E38" s="9"/>
    </x:row>
    <x:row r="39" ht="99" customHeight="1">
      <x:c r="A39" s="9" t="str">
        <x:v>基准营收增长 30% / 20%，反映规模扩大后增速下降。
持续营业利润率 58%，保留股权薪酬与研发费用。
净利息仅留 20 亿美元，剔除证券投资收益。
退出 25 倍：生态壁垒支持溢价，ASIC 与出口管制限制倍数。</x:v>
      </x:c>
      <x:c r="B39" s="9"/>
      <x:c r="C39" s="9"/>
      <x:c r="D39" s="9"/>
      <x:c r="E39" s="9"/>
    </x:row>
    <x:row r="40" ht="75" customHeight="1">
      <x:c r="A40" s="9" t="str">
        <x:v>Q2 FY27 FCF 为 213.41 亿美元，显著低于净利。
应收账款增加占用 223.46 亿美元现金。
模型为应收、库存和供应预付款保留现金支出。</x:v>
      </x:c>
      <x:c r="B40" s="9"/>
      <x:c r="C40" s="9"/>
      <x:c r="D40" s="9"/>
      <x:c r="E40" s="9"/>
    </x:row>
    <x:row r="41" ht="53" customHeight="1">
      <x:c r="A41" s="9" t="str">
        <x:v>客户自研 ASIC、出口限制与上游分配影响增长。
客户融资和应收账款回收可能拖累现金收益。</x:v>
      </x:c>
      <x:c r="B41" s="9"/>
      <x:c r="C41" s="9"/>
      <x:c r="D41" s="9"/>
      <x:c r="E41" s="9"/>
    </x:row>
    <x:row r="42" ht="32" customHeight="1">
      <x:c r="A42" s="9" t="str">
        <x:v>来源：SEMI10；情景增长、利润率、倍数、股数、股息均为本研究假设。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施耐德：收入、利润与股东回报</x:v>
      </x:c>
      <x:c r="B1" s="4"/>
      <x:c r="C1" s="4"/>
      <x:c r="D1" s="4"/>
      <x:c r="E1" s="4"/>
    </x:row>
    <x:row r="2" ht="30" customHeight="1">
      <x:c r="A2" s="5" t="str">
        <x:v>金额：百万 EUR；股数：百万股；EPS 与价格：EUR/股。所有情景均为研究假设。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SU.PA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'行情'!B12</x:f>
        <x:v>288</x:v>
      </x:c>
      <x:c r="C5" s="10"/>
      <x:c r="D5" s="10"/>
      <x:c r="E5" s="10" t="str">
        <x:v>Yahoo regularMarketPrice 最新常规市场报价；当日历史日线close缺失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v>46000</x:v>
      </x:c>
      <x:c r="C10" s="39" t="n">
        <x:v>46000</x:v>
      </x:c>
      <x:c r="D10" s="39" t="n">
        <x:v>46000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0.04</x:v>
      </x:c>
      <x:c r="C11" s="43" t="n">
        <x:v>0.1</x:v>
      </x:c>
      <x:c r="D11" s="43" t="n">
        <x:v>0.14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47840</x:v>
      </x:c>
      <x:c r="C12" s="41" t="n">
        <x:f>C10*(1+C11)</x:f>
        <x:v>50600.00000000001</x:v>
      </x:c>
      <x:c r="D12" s="41" t="n">
        <x:f>D10*(1+D11)</x:f>
        <x:v>52440.00000000001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0.03</x:v>
      </x:c>
      <x:c r="C13" s="43" t="n">
        <x:v>0.09</x:v>
      </x:c>
      <x:c r="D13" s="43" t="n">
        <x:v>0.12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49275.200000000004</x:v>
      </x:c>
      <x:c r="C14" s="41" t="n">
        <x:f>C12*(1+C13)</x:f>
        <x:v>55154.000000000015</x:v>
      </x:c>
      <x:c r="D14" s="41" t="n">
        <x:f>D12*(1+D13)</x:f>
        <x:v>58732.80000000001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0.165</x:v>
      </x:c>
      <x:c r="C15" s="43" t="n">
        <x:v>0.2</x:v>
      </x:c>
      <x:c r="D15" s="43" t="n">
        <x:v>0.215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8130.408000000001</x:v>
      </x:c>
      <x:c r="C16" s="41" t="n">
        <x:f>C14*C15</x:f>
        <x:v>11030.800000000003</x:v>
      </x:c>
      <x:c r="D16" s="41" t="n">
        <x:f>D14*D15</x:f>
        <x:v>12627.552000000001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-1000</x:v>
      </x:c>
      <x:c r="C17" s="40" t="n">
        <x:v>-800</x:v>
      </x:c>
      <x:c r="D17" s="40" t="n">
        <x:v>-650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0.25</x:v>
      </x:c>
      <x:c r="C18" s="44" t="n">
        <x:v>0.24</x:v>
      </x:c>
      <x:c r="D18" s="44" t="n">
        <x:v>0.23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5240.849880000001</x:v>
      </x:c>
      <x:c r="C19" s="42" t="n">
        <x:f>(C16+C17)*(1-C18)*(1-C36)</x:f>
        <x:v>7619.899840000002</x:v>
      </x:c>
      <x:c r="D19" s="42" t="n">
        <x:f>(D16+D17)*(1-D18)*(1-D36)</x:f>
        <x:v>9038.2607392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570</x:v>
      </x:c>
      <x:c r="C20" s="39" t="n">
        <x:v>565</x:v>
      </x:c>
      <x:c r="D20" s="39" t="n">
        <x:v>560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9.194473473684212</x:v>
      </x:c>
      <x:c r="C21" s="42" t="n">
        <x:f>C19/C20</x:f>
        <x:v>13.486548389380534</x:v>
      </x:c>
      <x:c r="D21" s="42" t="n">
        <x:f>D19/D20</x:f>
        <x:v>16.139751320000002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1800</x:v>
      </x:c>
      <x:c r="C22" s="39" t="n">
        <x:v>2000</x:v>
      </x:c>
      <x:c r="D22" s="39" t="n">
        <x:v>2200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1900</x:v>
      </x:c>
      <x:c r="C23" s="40" t="n">
        <x:v>2000</x:v>
      </x:c>
      <x:c r="D23" s="40" t="n">
        <x:v>2200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500</x:v>
      </x:c>
      <x:c r="C24" s="39" t="n">
        <x:v>700</x:v>
      </x:c>
      <x:c r="D24" s="39" t="n">
        <x:v>800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4640.849880000001</x:v>
      </x:c>
      <x:c r="C25" s="42" t="n">
        <x:f>C19+C22-C23-C24</x:f>
        <x:v>6919.899840000002</x:v>
      </x:c>
      <x:c r="D25" s="42" t="n">
        <x:f>D19+D22-D23-D24</x:f>
        <x:v>8238.2607392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0.02827028435672515</x:v>
      </x:c>
      <x:c r="C26" s="45" t="n">
        <x:f>C25/($B$5*C20)</x:f>
        <x:v>0.04252642477876108</x:v>
      </x:c>
      <x:c r="D26" s="45" t="n">
        <x:f>D25/($B$5*D20)</x:f>
        <x:v>0.05108048573412699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21</x:v>
      </x:c>
      <x:c r="C27" s="40" t="n">
        <x:v>26</x:v>
      </x:c>
      <x:c r="D27" s="40" t="n">
        <x:v>30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193.08394294736846</x:v>
      </x:c>
      <x:c r="C28" s="41" t="n">
        <x:f>C21*C27</x:f>
        <x:v>350.6502581238939</x:v>
      </x:c>
      <x:c r="D28" s="41" t="n">
        <x:f>D21*D27</x:f>
        <x:v>484.19253960000003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8</x:v>
      </x:c>
      <x:c r="C29" s="40" t="n">
        <x:v>9</x:v>
      </x:c>
      <x:c r="D29" s="40" t="n">
        <x:v>10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-0.3017918647660818</x:v>
      </x:c>
      <x:c r="C30" s="45" t="n">
        <x:f>(C28+C29)/$B$5-1</x:f>
        <x:v>0.24878561848574265</x:v>
      </x:c>
      <x:c r="D30" s="45" t="n">
        <x:f>(D28+D29)/$B$5-1</x:f>
        <x:v>0.7159463180555556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-0.16441150364912382</x:v>
      </x:c>
      <x:c r="C31" s="51" t="n">
        <x:f>(1+C30)^(1/$B$6)-1</x:f>
        <x:v>0.11749076885929699</x:v>
      </x:c>
      <x:c r="D31" s="51" t="n">
        <x:f>(1+D30)^(1/$B$6)-1</x:f>
        <x:v>0.30994134145600416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152.04835005472097</x:v>
      </x:c>
      <x:c r="C32" s="52" t="n">
        <x:f>(C28+C29)/(1+$B$7)^$B$6</x:f>
        <x:v>271.947265122037</x:v>
      </x:c>
      <x:c r="D32" s="52" t="n">
        <x:f>(D28+D29)/(1+$B$7)^$B$6</x:f>
        <x:v>373.6805592438564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17.756190476190472</x:v>
      </x:c>
      <x:c r="C33" s="42" t="n">
        <x:f>($B$5*(1+$B$7)^$B$6-C29)/C27</x:f>
        <x:v>14.30307692307692</x:v>
      </x:c>
      <x:c r="D33" s="42" t="n">
        <x:f>($B$5*(1+$B$7)^$B$6-D29)/D27</x:f>
        <x:v>12.362666666666664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0.29974727448904953</x:v>
      </x:c>
      <x:c r="C34" s="45" t="n">
        <x:f>(C33*C20/((1-C18)*(1-C36))-C17)/C14</x:f>
        <x:v>0.2112306044378946</x:v>
      </x:c>
      <x:c r="D34" s="45" t="n">
        <x:f>(D33*D20/((1-D18)*(1-D36))-D17)/D14</x:f>
        <x:v>0.1672748569347597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31.323163944547094</x:v>
      </x:c>
      <x:c r="C35" s="42" t="n">
        <x:f>$B$5/C21</x:f>
        <x:v>21.354611401296314</x:v>
      </x:c>
      <x:c r="D35" s="42" t="n">
        <x:f>$B$5/D21</x:f>
        <x:v>17.84414110786931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0.02</x:v>
      </x:c>
      <x:c r="C36" s="44" t="n">
        <x:v>0.02</x:v>
      </x:c>
      <x:c r="D36" s="44" t="n">
        <x:v>0.02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2026E 营收 460 亿欧元；研究估算。
H1 实绩 212.26 亿欧元；H2 隐含 247.74 亿欧元。
下半年交付更强，全年目标仍需汇率与并购桥接。</x:v>
      </x:c>
      <x:c r="B38" s="9"/>
      <x:c r="C38" s="9"/>
      <x:c r="D38" s="9"/>
      <x:c r="E38" s="9"/>
    </x:row>
    <x:row r="39" ht="99" customHeight="1">
      <x:c r="A39" s="9" t="str">
        <x:v>基准营收增长 10% / 9%，低于 Q2 的 16.5% 有机增长。
2028 持续营业利润率 20%，已扣除经常摊销与折旧。
H1 归母调整净利 / 调整 EPS 隐含约 563 百万股；基准用 565。
退出 26 倍：分散客户与软件服务支持溢价，成本传导需兑现。</x:v>
      </x:c>
      <x:c r="B39" s="9"/>
      <x:c r="C39" s="9"/>
      <x:c r="D39" s="9"/>
      <x:c r="E39" s="9"/>
    </x:row>
    <x:row r="40" ht="75" customHeight="1">
      <x:c r="A40" s="9" t="str">
        <x:v>H1 公司经营现金流口径为营运资本变动前。
FCF 按 3,755－669－1,208－247＝1,631 百万欧元。
净债务 153.60 亿欧元；Cognite 收购另需现金。</x:v>
      </x:c>
      <x:c r="B40" s="9"/>
      <x:c r="C40" s="9"/>
      <x:c r="D40" s="9"/>
      <x:c r="E40" s="9"/>
    </x:row>
    <x:row r="41" ht="53" customHeight="1">
      <x:c r="A41" s="9" t="str">
        <x:v>净提价尚未覆盖原料与关税。
并购、整合成本和债务利息可能稀释收益。</x:v>
      </x:c>
      <x:c r="B41" s="9"/>
      <x:c r="C41" s="9"/>
      <x:c r="D41" s="9"/>
      <x:c r="E41" s="9"/>
    </x:row>
    <x:row r="42" ht="32" customHeight="1">
      <x:c r="A42" s="9" t="str">
        <x:v>来源：P13；情景增长、利润率、倍数、股数、股息均为本研究假设。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西门子能源：收入、利润与股东回报</x:v>
      </x:c>
      <x:c r="B1" s="4"/>
      <x:c r="C1" s="4"/>
      <x:c r="D1" s="4"/>
      <x:c r="E1" s="4"/>
    </x:row>
    <x:row r="2" ht="30" customHeight="1">
      <x:c r="A2" s="5" t="str">
        <x:v>金额：百万 EUR；股数：百万股；EPS 与价格：EUR/股。所有情景均为研究假设。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ENR.DE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'行情'!B16</x:f>
        <x:v>146.52</x:v>
      </x:c>
      <x:c r="C5" s="10"/>
      <x:c r="D5" s="10"/>
      <x:c r="E5" s="10" t="str">
        <x:v>Yahoo regularMarketPrice 最新常规市场报价；当日历史日线close缺失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v>45000</x:v>
      </x:c>
      <x:c r="C10" s="39" t="n">
        <x:v>45000</x:v>
      </x:c>
      <x:c r="D10" s="39" t="n">
        <x:v>45000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0.07</x:v>
      </x:c>
      <x:c r="C11" s="43" t="n">
        <x:v>0.13</x:v>
      </x:c>
      <x:c r="D11" s="43" t="n">
        <x:v>0.18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48150</x:v>
      </x:c>
      <x:c r="C12" s="41" t="n">
        <x:f>C10*(1+C11)</x:f>
        <x:v>50849.99999999999</x:v>
      </x:c>
      <x:c r="D12" s="41" t="n">
        <x:f>D10*(1+D11)</x:f>
        <x:v>53100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0.05</x:v>
      </x:c>
      <x:c r="C13" s="43" t="n">
        <x:v>0.1</x:v>
      </x:c>
      <x:c r="D13" s="43" t="n">
        <x:v>0.14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50557.5</x:v>
      </x:c>
      <x:c r="C14" s="41" t="n">
        <x:f>C12*(1+C13)</x:f>
        <x:v>55935</x:v>
      </x:c>
      <x:c r="D14" s="41" t="n">
        <x:f>D12*(1+D13)</x:f>
        <x:v>60534.00000000001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0.1</x:v>
      </x:c>
      <x:c r="C15" s="43" t="n">
        <x:v>0.15</x:v>
      </x:c>
      <x:c r="D15" s="43" t="n">
        <x:v>0.18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5055.75</x:v>
      </x:c>
      <x:c r="C16" s="41" t="n">
        <x:f>C14*C15</x:f>
        <x:v>8390.25</x:v>
      </x:c>
      <x:c r="D16" s="41" t="n">
        <x:f>D14*D15</x:f>
        <x:v>10896.12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0</x:v>
      </x:c>
      <x:c r="C17" s="40" t="n">
        <x:v>150</x:v>
      </x:c>
      <x:c r="D17" s="40" t="n">
        <x:v>200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0.27</x:v>
      </x:c>
      <x:c r="C18" s="44" t="n">
        <x:v>0.26</x:v>
      </x:c>
      <x:c r="D18" s="44" t="n">
        <x:v>0.25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3395.4417</x:v>
      </x:c>
      <x:c r="C19" s="42" t="n">
        <x:f>(C16+C17)*(1-C18)*(1-C36)</x:f>
        <x:v>5814.2022</x:v>
      </x:c>
      <x:c r="D19" s="42" t="n">
        <x:f>(D16+D17)*(1-D18)*(1-D36)</x:f>
        <x:v>7656.322800000001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860</x:v>
      </x:c>
      <x:c r="C20" s="39" t="n">
        <x:v>850</x:v>
      </x:c>
      <x:c r="D20" s="39" t="n">
        <x:v>835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3.9481880232558138</x:v>
      </x:c>
      <x:c r="C21" s="42" t="n">
        <x:f>C19/C20</x:f>
        <x:v>6.840237882352941</x:v>
      </x:c>
      <x:c r="D21" s="42" t="n">
        <x:f>D19/D20</x:f>
        <x:v>9.16924886227545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1700</x:v>
      </x:c>
      <x:c r="C22" s="39" t="n">
        <x:v>2000</x:v>
      </x:c>
      <x:c r="D22" s="39" t="n">
        <x:v>2200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2300</x:v>
      </x:c>
      <x:c r="C23" s="40" t="n">
        <x:v>2500</x:v>
      </x:c>
      <x:c r="D23" s="40" t="n">
        <x:v>2800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500</x:v>
      </x:c>
      <x:c r="C24" s="39" t="n">
        <x:v>700</x:v>
      </x:c>
      <x:c r="D24" s="39" t="n">
        <x:v>900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2295.4416999999994</x:v>
      </x:c>
      <x:c r="C25" s="42" t="n">
        <x:f>C19+C22-C23-C24</x:f>
        <x:v>4614.2022</x:v>
      </x:c>
      <x:c r="D25" s="42" t="n">
        <x:f>D19+D22-D23-D24</x:f>
        <x:v>6156.322800000002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0.018216750312680538</x:v>
      </x:c>
      <x:c r="C26" s="45" t="n">
        <x:f>C25/($B$5*C20)</x:f>
        <x:v>0.03704936647877824</x:v>
      </x:c>
      <x:c r="D26" s="45" t="n">
        <x:f>D25/($B$5*D20)</x:f>
        <x:v>0.050319694762808544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18</x:v>
      </x:c>
      <x:c r="C27" s="40" t="n">
        <x:v>24</x:v>
      </x:c>
      <x:c r="D27" s="40" t="n">
        <x:v>28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71.06738441860465</x:v>
      </x:c>
      <x:c r="C28" s="41" t="n">
        <x:f>C21*C27</x:f>
        <x:v>164.16570917647059</x:v>
      </x:c>
      <x:c r="D28" s="41" t="n">
        <x:f>D21*D27</x:f>
        <x:v>256.7389681437126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3</x:v>
      </x:c>
      <x:c r="C29" s="40" t="n">
        <x:v>4</x:v>
      </x:c>
      <x:c r="D29" s="40" t="n">
        <x:v>5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-0.4944895958326192</x:v>
      </x:c>
      <x:c r="C30" s="45" t="n">
        <x:f>(C28+C29)/$B$5-1</x:f>
        <x:v>0.14773211286152454</x:v>
      </x:c>
      <x:c r="D30" s="45" t="n">
        <x:f>(D28+D29)/$B$5-1</x:f>
        <x:v>0.7863702439510825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-0.2890074513981312</x:v>
      </x:c>
      <x:c r="C31" s="51" t="n">
        <x:f>(1+C30)^(1/$B$6)-1</x:f>
        <x:v>0.07132259980900457</x:v>
      </x:c>
      <x:c r="D31" s="51" t="n">
        <x:f>(1+D30)^(1/$B$6)-1</x:f>
        <x:v>0.3365516241249653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56.005583681364584</x:v>
      </x:c>
      <x:c r="C32" s="52" t="n">
        <x:f>(C28+C29)/(1+$B$7)^$B$6</x:f>
        <x:v>127.15743605026134</x:v>
      </x:c>
      <x:c r="D32" s="52" t="n">
        <x:f>(D28+D29)/(1+$B$7)^$B$6</x:f>
        <x:v>197.91226324666363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10.598483333333332</x:v>
      </x:c>
      <x:c r="C33" s="42" t="n">
        <x:f>($B$5*(1+$B$7)^$B$6-C29)/C27</x:f>
        <x:v>7.907195833333333</x:v>
      </x:c>
      <x:c r="D33" s="42" t="n">
        <x:f>($B$5*(1+$B$7)^$B$6-D29)/D27</x:f>
        <x:v>6.7418821428571425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0.26843917439862586</x:v>
      </x:c>
      <x:c r="C34" s="45" t="n">
        <x:f>(C33*C20/((1-C18)*(1-C36))-C17)/C14</x:f>
        <x:v>0.17381568296583685</x:v>
      </x:c>
      <x:c r="D34" s="45" t="n">
        <x:f>(D33*D20/((1-D18)*(1-D36))-D17)/D14</x:f>
        <x:v>0.1314741216048117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37.11069461154347</x:v>
      </x:c>
      <x:c r="C35" s="42" t="n">
        <x:f>$B$5/C21</x:f>
        <x:v>21.420307673510223</x:v>
      </x:c>
      <x:c r="D35" s="42" t="n">
        <x:f>$B$5/D21</x:f>
        <x:v>15.9794986700404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0.08</x:v>
      </x:c>
      <x:c r="C36" s="44" t="n">
        <x:v>0.08</x:v>
      </x:c>
      <x:c r="D36" s="44" t="n">
        <x:v>0.08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FY2026E 营收 450 亿欧元；研究估算。
前三财季实绩 314.16 亿欧元；Q4 隐含 135.84 亿欧元。
财年截至 9 月，估值使用 FY2028。</x:v>
      </x:c>
      <x:c r="B38" s="9"/>
      <x:c r="C38" s="9"/>
      <x:c r="D38" s="9"/>
      <x:c r="E38" s="9"/>
    </x:row>
    <x:row r="39" ht="99" customHeight="1">
      <x:c r="A39" s="9" t="str">
        <x:v>基准营收增长 13% / 10%，由订单转收入推动。
2028 持续营业利润率 15%，要求高价订单交付和风电改善。
850 百万股为含潜在摊薄的研究假设；高于 Q3 基本股数。
退出 24 倍：服务收入支持估值，周期与执行风险限制倍数。</x:v>
      </x:c>
      <x:c r="B39" s="9"/>
      <x:c r="C39" s="9"/>
      <x:c r="D39" s="9"/>
      <x:c r="E39" s="9"/>
    </x:row>
    <x:row r="40" ht="75" customHeight="1">
      <x:c r="A40" s="9" t="str">
        <x:v>前三财季税后 FCF 为 66.34 亿欧元。
其中合同负债现金流入 53.59 亿欧元。
模型为新增营运资本留出现金，避免延用预付款高峰。</x:v>
      </x:c>
      <x:c r="B40" s="9"/>
      <x:c r="C40" s="9"/>
      <x:c r="D40" s="9"/>
      <x:c r="E40" s="9"/>
    </x:row>
    <x:row r="41" ht="53" customHeight="1">
      <x:c r="A41" s="9" t="str">
        <x:v>Gamesa 修复、质保与项目交付影响全公司收益。
新增气机产能和客户延迟可能改变订单转化速度。</x:v>
      </x:c>
      <x:c r="B41" s="9"/>
      <x:c r="C41" s="9"/>
      <x:c r="D41" s="9"/>
      <x:c r="E41" s="9"/>
    </x:row>
    <x:row r="42" ht="32" customHeight="1">
      <x:c r="A42" s="9" t="str">
        <x:v>来源：P04 / P05 / P06 / P07；情景增长、利润率、倍数、股数、股息均为本研究假设。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Broadcom：收入、利润与股东回报</x:v>
      </x:c>
      <x:c r="B1" s="4"/>
      <x:c r="C1" s="4"/>
      <x:c r="D1" s="4"/>
      <x:c r="E1" s="4"/>
    </x:row>
    <x:row r="2" ht="30" customHeight="1">
      <x:c r="A2" s="5" t="str">
        <x:v>金额：百万 USD；股数：百万股；EPS 与价格：USD/股。所有情景均为研究假设。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AVGO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'行情'!B14</x:f>
        <x:v>357.9</x:v>
      </x:c>
      <x:c r="C5" s="10"/>
      <x:c r="D5" s="10"/>
      <x:c r="E5" s="10" t="str">
        <x:v>Yahoo日线未调整收盘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f>'财务事实'!E59+'财务事实'!E60</x:f>
        <x:v>105889</x:v>
      </x:c>
      <x:c r="C10" s="39" t="n">
        <x:f>'财务事实'!E59+'财务事实'!E60</x:f>
        <x:v>105889</x:v>
      </x:c>
      <x:c r="D10" s="39" t="n">
        <x:f>'财务事实'!E59+'财务事实'!E60</x:f>
        <x:v>105889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0.18</x:v>
      </x:c>
      <x:c r="C11" s="43" t="n">
        <x:v>0.4</x:v>
      </x:c>
      <x:c r="D11" s="43" t="n">
        <x:v>0.55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124949.01999999999</x:v>
      </x:c>
      <x:c r="C12" s="41" t="n">
        <x:f>C10*(1+C11)</x:f>
        <x:v>148244.59999999998</x:v>
      </x:c>
      <x:c r="D12" s="41" t="n">
        <x:f>D10*(1+D11)</x:f>
        <x:v>164127.95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0.05</x:v>
      </x:c>
      <x:c r="C13" s="43" t="n">
        <x:v>0.2</x:v>
      </x:c>
      <x:c r="D13" s="43" t="n">
        <x:v>0.3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131196.471</x:v>
      </x:c>
      <x:c r="C14" s="41" t="n">
        <x:f>C12*(1+C13)</x:f>
        <x:v>177893.51999999996</x:v>
      </x:c>
      <x:c r="D14" s="41" t="n">
        <x:f>D12*(1+D13)</x:f>
        <x:v>213366.33500000002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0.46</x:v>
      </x:c>
      <x:c r="C15" s="43" t="n">
        <x:v>0.56</x:v>
      </x:c>
      <x:c r="D15" s="43" t="n">
        <x:v>0.6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60350.37666</x:v>
      </x:c>
      <x:c r="C16" s="41" t="n">
        <x:f>C14*C15</x:f>
        <x:v>99620.3712</x:v>
      </x:c>
      <x:c r="D16" s="41" t="n">
        <x:f>D14*D15</x:f>
        <x:v>128019.801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-2500</x:v>
      </x:c>
      <x:c r="C17" s="40" t="n">
        <x:v>-2000</x:v>
      </x:c>
      <x:c r="D17" s="40" t="n">
        <x:v>-1500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0.21</x:v>
      </x:c>
      <x:c r="C18" s="44" t="n">
        <x:v>0.18</x:v>
      </x:c>
      <x:c r="D18" s="44" t="n">
        <x:v>0.17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45701.7975614</x:v>
      </x:c>
      <x:c r="C19" s="42" t="n">
        <x:f>(C16+C17)*(1-C18)*(1-C36)</x:f>
        <x:v>80048.704384</x:v>
      </x:c>
      <x:c r="D19" s="42" t="n">
        <x:f>(D16+D17)*(1-D18)*(1-D36)</x:f>
        <x:v>105011.43483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5100</x:v>
      </x:c>
      <x:c r="C20" s="39" t="n">
        <x:v>4950</x:v>
      </x:c>
      <x:c r="D20" s="39" t="n">
        <x:v>4900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8.961136776745098</x:v>
      </x:c>
      <x:c r="C21" s="42" t="n">
        <x:f>C19/C20</x:f>
        <x:v>16.17145543111111</x:v>
      </x:c>
      <x:c r="D21" s="42" t="n">
        <x:f>D19/D20</x:f>
        <x:v>21.430905067346938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10500</x:v>
      </x:c>
      <x:c r="C22" s="39" t="n">
        <x:v>10000</x:v>
      </x:c>
      <x:c r="D22" s="39" t="n">
        <x:v>10000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3000</x:v>
      </x:c>
      <x:c r="C23" s="40" t="n">
        <x:v>4000</x:v>
      </x:c>
      <x:c r="D23" s="40" t="n">
        <x:v>5000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5000</x:v>
      </x:c>
      <x:c r="C24" s="39" t="n">
        <x:v>8000</x:v>
      </x:c>
      <x:c r="D24" s="39" t="n">
        <x:v>11000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48201.7975614</x:v>
      </x:c>
      <x:c r="C25" s="42" t="n">
        <x:f>C19+C22-C23-C24</x:f>
        <x:v>78048.704384</x:v>
      </x:c>
      <x:c r="D25" s="42" t="n">
        <x:f>D19+D22-D23-D24</x:f>
        <x:v>99011.43483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0.026407747569646468</x:v>
      </x:c>
      <x:c r="C26" s="45" t="n">
        <x:f>C25/($B$5*C20)</x:f>
        <x:v>0.044055364702628406</x:v>
      </x:c>
      <x:c r="D26" s="45" t="n">
        <x:f>D25/($B$5*D20)</x:f>
        <x:v>0.05645827122500299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20</x:v>
      </x:c>
      <x:c r="C27" s="40" t="n">
        <x:v>25</x:v>
      </x:c>
      <x:c r="D27" s="40" t="n">
        <x:v>30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179.22273553490197</x:v>
      </x:c>
      <x:c r="C28" s="41" t="n">
        <x:f>C21*C27</x:f>
        <x:v>404.28638577777775</x:v>
      </x:c>
      <x:c r="D28" s="41" t="n">
        <x:f>D21*D27</x:f>
        <x:v>642.9271520204081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5</x:v>
      </x:c>
      <x:c r="C29" s="40" t="n">
        <x:v>5.8</x:v>
      </x:c>
      <x:c r="D29" s="40" t="n">
        <x:v>6.5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-0.4852675732469909</x:v>
      </x:c>
      <x:c r="C30" s="45" t="n">
        <x:f>(C28+C29)/$B$5-1</x:f>
        <x:v>0.14581275713265662</x:v>
      </x:c>
      <x:c r="D30" s="45" t="n">
        <x:f>(D28+D29)/$B$5-1</x:f>
        <x:v>0.8145491813925907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-0.2825514466158503</x:v>
      </x:c>
      <x:c r="C31" s="51" t="n">
        <x:f>(1+C30)^(1/$B$6)-1</x:f>
        <x:v>0.07042643704864493</x:v>
      </x:c>
      <x:c r="D31" s="51" t="n">
        <x:f>(1+D30)^(1/$B$6)-1</x:f>
        <x:v>0.3470520336618741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139.29885484680682</x:v>
      </x:c>
      <x:c r="C32" s="52" t="n">
        <x:f>(C28+C29)/(1+$B$7)^$B$6</x:f>
        <x:v>310.08422365049364</x:v>
      </x:c>
      <x:c r="D32" s="52" t="n">
        <x:f>(D28+D29)/(1+$B$7)^$B$6</x:f>
        <x:v>491.06022837081906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23.416137499999994</x:v>
      </x:c>
      <x:c r="C33" s="42" t="n">
        <x:f>($B$5*(1+$B$7)^$B$6-C29)/C27</x:f>
        <x:v>18.700909999999993</x:v>
      </x:c>
      <x:c r="D33" s="42" t="n">
        <x:f>($B$5*(1+$B$7)^$B$6-D29)/D27</x:f>
        <x:v>15.560758333333329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1.1712774647475757</x:v>
      </x:c>
      <x:c r="C34" s="45" t="n">
        <x:f>(C33*C20/((1-C18)*(1-C36))-C17)/C14</x:f>
        <x:v>0.6458337528772623</x:v>
      </x:c>
      <x:c r="D34" s="45" t="n">
        <x:f>(D33*D20/((1-D18)*(1-D36))-D17)/D14</x:f>
        <x:v>0.4375794235369226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39.939129255205714</x:v>
      </x:c>
      <x:c r="C35" s="42" t="n">
        <x:f>$B$5/C21</x:f>
        <x:v>22.13158868257842</x:v>
      </x:c>
      <x:c r="D35" s="42" t="n">
        <x:f>$B$5/D21</x:f>
        <x:v>16.70018129777039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</x:v>
      </x:c>
      <x:c r="C36" s="44" t="n">
        <x:v>0</x:v>
      </x:c>
      <x:c r="D36" s="44" t="n">
        <x:v>0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FY2026 前三季收入 710.89 亿美元；Q4 收入指引 348 亿美元。
营收基数采用两者合计。
全年估计包含软件与非 AI 芯片业务。</x:v>
      </x:c>
      <x:c r="B38" s="9"/>
      <x:c r="C38" s="9"/>
      <x:c r="D38" s="9"/>
      <x:c r="E38" s="9"/>
    </x:row>
    <x:row r="39" ht="99" customHeight="1">
      <x:c r="A39" s="9" t="str">
        <x:v>基准营收增长 40% / 20%，需要 ASIC 和网络持续扩张。
持续营业利润率 56%，含股权薪酬及经常摊销。
净利息支出 20 亿美元，反映 354.44 亿美元净债。
退出 25 倍：客户协同设计与软件利润支持，客户集中限制倍数。</x:v>
      </x:c>
      <x:c r="B39" s="9"/>
      <x:c r="C39" s="9"/>
      <x:c r="D39" s="9"/>
      <x:c r="E39" s="9"/>
    </x:row>
    <x:row r="40" ht="75" customHeight="1">
      <x:c r="A40" s="9" t="str">
        <x:v>FY26 Q3 FCF 为 136.65 亿美元。
GAAP 营业利润为 159.55 亿美元。
股权薪酬 20.19 亿美元不作为盈利加回项。</x:v>
      </x:c>
      <x:c r="B40" s="9"/>
      <x:c r="C40" s="9"/>
      <x:c r="D40" s="9"/>
      <x:c r="E40" s="9"/>
    </x:row>
    <x:row r="41" ht="53" customHeight="1">
      <x:c r="A41" s="9" t="str">
        <x:v>少数大客户、定制芯片产品周期与项目延期。
软件收入稳定性和收购摊销影响综合估值。</x:v>
      </x:c>
      <x:c r="B41" s="9"/>
      <x:c r="C41" s="9"/>
      <x:c r="D41" s="9"/>
      <x:c r="E41" s="9"/>
    </x:row>
    <x:row r="42" ht="32" customHeight="1">
      <x:c r="A42" s="9" t="str">
        <x:v>来源：SEMI12；情景增长、利润率、倍数、股数、股息均为本研究假设。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Vertiv：收入、利润与股东回报</x:v>
      </x:c>
      <x:c r="B1" s="4"/>
      <x:c r="C1" s="4"/>
      <x:c r="D1" s="4"/>
      <x:c r="E1" s="4"/>
    </x:row>
    <x:row r="2" ht="30" customHeight="1">
      <x:c r="A2" s="5" t="str">
        <x:v>金额：百万 USD；股数：百万股；EPS 与价格：USD/股。所有情景均为研究假设。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VRT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'行情'!B11</x:f>
        <x:v>280.53</x:v>
      </x:c>
      <x:c r="C5" s="10"/>
      <x:c r="D5" s="10"/>
      <x:c r="E5" s="10" t="str">
        <x:v>Yahoo日线未调整收盘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f>('财务事实'!E61+'财务事实'!E62)/2</x:f>
        <x:v>14000</x:v>
      </x:c>
      <x:c r="C10" s="39" t="n">
        <x:f>('财务事实'!E61+'财务事实'!E62)/2</x:f>
        <x:v>14000</x:v>
      </x:c>
      <x:c r="D10" s="39" t="n">
        <x:f>('财务事实'!E61+'财务事实'!E62)/2</x:f>
        <x:v>14000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0.12</x:v>
      </x:c>
      <x:c r="C11" s="43" t="n">
        <x:v>0.25</x:v>
      </x:c>
      <x:c r="D11" s="43" t="n">
        <x:v>0.35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15680.000000000002</x:v>
      </x:c>
      <x:c r="C12" s="41" t="n">
        <x:f>C10*(1+C11)</x:f>
        <x:v>17500</x:v>
      </x:c>
      <x:c r="D12" s="41" t="n">
        <x:f>D10*(1+D11)</x:f>
        <x:v>18900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0.08</x:v>
      </x:c>
      <x:c r="C13" s="43" t="n">
        <x:v>0.2</x:v>
      </x:c>
      <x:c r="D13" s="43" t="n">
        <x:v>0.25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16934.4</x:v>
      </x:c>
      <x:c r="C14" s="41" t="n">
        <x:f>C12*(1+C13)</x:f>
        <x:v>21000</x:v>
      </x:c>
      <x:c r="D14" s="41" t="n">
        <x:f>D12*(1+D13)</x:f>
        <x:v>23625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0.19</x:v>
      </x:c>
      <x:c r="C15" s="43" t="n">
        <x:v>0.25</x:v>
      </x:c>
      <x:c r="D15" s="43" t="n">
        <x:v>0.28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3217.5360000000005</x:v>
      </x:c>
      <x:c r="C16" s="41" t="n">
        <x:f>C14*C15</x:f>
        <x:v>5250</x:v>
      </x:c>
      <x:c r="D16" s="41" t="n">
        <x:f>D14*D15</x:f>
        <x:v>6615.000000000001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-160</x:v>
      </x:c>
      <x:c r="C17" s="40" t="n">
        <x:v>-120</x:v>
      </x:c>
      <x:c r="D17" s="40" t="n">
        <x:v>-80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0.25</x:v>
      </x:c>
      <x:c r="C18" s="44" t="n">
        <x:v>0.24</x:v>
      </x:c>
      <x:c r="D18" s="44" t="n">
        <x:v>0.23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2293.1520000000005</x:v>
      </x:c>
      <x:c r="C19" s="42" t="n">
        <x:f>(C16+C17)*(1-C18)*(1-C36)</x:f>
        <x:v>3898.8</x:v>
      </x:c>
      <x:c r="D19" s="42" t="n">
        <x:f>(D16+D17)*(1-D18)*(1-D36)</x:f>
        <x:v>5031.950000000001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405</x:v>
      </x:c>
      <x:c r="C20" s="39" t="n">
        <x:v>395</x:v>
      </x:c>
      <x:c r="D20" s="39" t="n">
        <x:v>390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5.662103703703705</x:v>
      </x:c>
      <x:c r="C21" s="42" t="n">
        <x:f>C19/C20</x:f>
        <x:v>9.870379746835443</x:v>
      </x:c>
      <x:c r="D21" s="42" t="n">
        <x:f>D19/D20</x:f>
        <x:v>12.902435897435899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500</x:v>
      </x:c>
      <x:c r="C22" s="39" t="n">
        <x:v>600</x:v>
      </x:c>
      <x:c r="D22" s="39" t="n">
        <x:v>700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850</x:v>
      </x:c>
      <x:c r="C23" s="40" t="n">
        <x:v>950</x:v>
      </x:c>
      <x:c r="D23" s="40" t="n">
        <x:v>1150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400</x:v>
      </x:c>
      <x:c r="C24" s="39" t="n">
        <x:v>600</x:v>
      </x:c>
      <x:c r="D24" s="39" t="n">
        <x:v>800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1543.1520000000005</x:v>
      </x:c>
      <x:c r="C25" s="42" t="n">
        <x:f>C19+C22-C23-C24</x:f>
        <x:v>2948.8</x:v>
      </x:c>
      <x:c r="D25" s="42" t="n">
        <x:f>D19+D22-D23-D24</x:f>
        <x:v>3781.9500000000007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0.013582332912172862</x:v>
      </x:c>
      <x:c r="C26" s="45" t="n">
        <x:f>C25/($B$5*C20)</x:f>
        <x:v>0.02661147276831784</x:v>
      </x:c>
      <x:c r="D26" s="45" t="n">
        <x:f>D25/($B$5*D20)</x:f>
        <x:v>0.03456780983248742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24</x:v>
      </x:c>
      <x:c r="C27" s="40" t="n">
        <x:v>32</x:v>
      </x:c>
      <x:c r="D27" s="40" t="n">
        <x:v>38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135.8904888888889</x:v>
      </x:c>
      <x:c r="C28" s="41" t="n">
        <x:f>C21*C27</x:f>
        <x:v>315.8521518987342</x:v>
      </x:c>
      <x:c r="D28" s="41" t="n">
        <x:f>D21*D27</x:f>
        <x:v>490.29256410256414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0.4</x:v>
      </x:c>
      <x:c r="C29" s="40" t="n">
        <x:v>0.6</x:v>
      </x:c>
      <x:c r="D29" s="40" t="n">
        <x:v>0.8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-0.514167864795605</x:v>
      </x:c>
      <x:c r="C30" s="45" t="n">
        <x:f>(C28+C29)/$B$5-1</x:f>
        <x:v>0.12805101735548519</x:v>
      </x:c>
      <x:c r="D30" s="45" t="n">
        <x:f>(D28+D29)/$B$5-1</x:f>
        <x:v>0.7505884008931816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-0.302983403924702</x:v>
      </x:c>
      <x:c r="C31" s="51" t="n">
        <x:f>(1+C30)^(1/$B$6)-1</x:f>
        <x:v>0.06209746132616534</x:v>
      </x:c>
      <x:c r="D31" s="51" t="n">
        <x:f>(1+D30)^(1/$B$6)-1</x:f>
        <x:v>0.3230980314750611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103.0551900861164</x:v>
      </x:c>
      <x:c r="C32" s="52" t="n">
        <x:f>(C28+C29)/(1+$B$7)^$B$6</x:f>
        <x:v>239.28329066066863</x:v>
      </x:c>
      <x:c r="D32" s="52" t="n">
        <x:f>(D28+D29)/(1+$B$7)^$B$6</x:f>
        <x:v>371.33653240269507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15.44170520833333</x:v>
      </x:c>
      <x:c r="C33" s="42" t="n">
        <x:f>($B$5*(1+$B$7)^$B$6-C29)/C27</x:f>
        <x:v>11.575028906249996</x:v>
      </x:c>
      <x:c r="D33" s="42" t="n">
        <x:f>($B$5*(1+$B$7)^$B$6-D29)/D27</x:f>
        <x:v>9.742129605263154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0.5018495377751793</x:v>
      </x:c>
      <x:c r="C34" s="45" t="n">
        <x:f>(C33*C20/((1-C18)*(1-C36))-C17)/C14</x:f>
        <x:v>0.29218899861959574</x:v>
      </x:c>
      <x:c r="D34" s="45" t="n">
        <x:f>(D33*D20/((1-D18)*(1-D36))-D17)/D14</x:f>
        <x:v>0.2122465771210131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49.54518932892366</x:v>
      </x:c>
      <x:c r="C35" s="42" t="n">
        <x:f>$B$5/C21</x:f>
        <x:v>28.421398891966756</x:v>
      </x:c>
      <x:c r="D35" s="42" t="n">
        <x:f>$B$5/D21</x:f>
        <x:v>21.74240602549707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</x:v>
      </x:c>
      <x:c r="C36" s="44" t="n">
        <x:v>0</x:v>
      </x:c>
      <x:c r="D36" s="44" t="n">
        <x:v>0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2026 营收指引 138–142 亿美元。
模型使用指引中点 140 亿美元。
UIH 收购预计 Q4 交割；基准不计未披露的协同收益。</x:v>
      </x:c>
      <x:c r="B38" s="9"/>
      <x:c r="C38" s="9"/>
      <x:c r="D38" s="9"/>
      <x:c r="E38" s="9"/>
    </x:row>
    <x:row r="39" ht="99" customHeight="1">
      <x:c r="A39" s="9" t="str">
        <x:v>基准营收增长 25% / 20%，低于 2026 指引约 31%。
持续营业利润率 25%，高于 Q2 GAAP 19.5%，兑现要求较高。
股数与净利息计入股权薪酬和收购现金成本的影响。
退出 32 倍：较高增长支持溢价，液冷竞争限制进一步扩张。</x:v>
      </x:c>
      <x:c r="B39" s="9"/>
      <x:c r="C39" s="9"/>
      <x:c r="D39" s="9"/>
      <x:c r="E39" s="9"/>
    </x:row>
    <x:row r="40" ht="75" customHeight="1">
      <x:c r="A40" s="9" t="str">
        <x:v>H1 标准 CFO－PP&amp;E 为 15.807 亿美元。
软件资本开支另为 0.026 亿美元。
UIH 首付 14.5 亿美元；最高额外对价 11.5 亿美元。</x:v>
      </x:c>
      <x:c r="B40" s="9"/>
      <x:c r="C40" s="9"/>
      <x:c r="D40" s="9"/>
      <x:c r="E40" s="9"/>
    </x:row>
    <x:row r="41" ht="53" customHeight="1">
      <x:c r="A41" s="9" t="str">
        <x:v>液冷利润未独立披露，竞争者可扩产。
收购、客户集中与项目延迟可能压低现金转化。</x:v>
      </x:c>
      <x:c r="B41" s="9"/>
      <x:c r="C41" s="9"/>
      <x:c r="D41" s="9"/>
      <x:c r="E41" s="9"/>
    </x:row>
    <x:row r="42" ht="32" customHeight="1">
      <x:c r="A42" s="9" t="str">
        <x:v>来源：P10 / P11 / P12；情景增长、利润率、倍数、股数、股息均为本研究假设。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Eaton：收入、利润与股东回报</x:v>
      </x:c>
      <x:c r="B1" s="4"/>
      <x:c r="C1" s="4"/>
      <x:c r="D1" s="4"/>
      <x:c r="E1" s="4"/>
    </x:row>
    <x:row r="2" ht="30" customHeight="1">
      <x:c r="A2" s="5" t="str">
        <x:v>金额：百万 USD；股数：百万股；EPS 与价格：USD/股。所有情景均为研究假设。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ETN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'行情'!B9</x:f>
        <x:v>410.85</x:v>
      </x:c>
      <x:c r="C5" s="10"/>
      <x:c r="D5" s="10"/>
      <x:c r="E5" s="10" t="str">
        <x:v>Yahoo日线未调整收盘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v>35000</x:v>
      </x:c>
      <x:c r="C10" s="39" t="n">
        <x:v>35000</x:v>
      </x:c>
      <x:c r="D10" s="39" t="n">
        <x:v>35000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0.04</x:v>
      </x:c>
      <x:c r="C11" s="43" t="n">
        <x:v>0.1</x:v>
      </x:c>
      <x:c r="D11" s="43" t="n">
        <x:v>0.14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36400</x:v>
      </x:c>
      <x:c r="C12" s="41" t="n">
        <x:f>C10*(1+C11)</x:f>
        <x:v>38500</x:v>
      </x:c>
      <x:c r="D12" s="41" t="n">
        <x:f>D10*(1+D11)</x:f>
        <x:v>39900.00000000001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0.04</x:v>
      </x:c>
      <x:c r="C13" s="43" t="n">
        <x:v>0.09</x:v>
      </x:c>
      <x:c r="D13" s="43" t="n">
        <x:v>0.12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37856</x:v>
      </x:c>
      <x:c r="C14" s="41" t="n">
        <x:f>C12*(1+C13)</x:f>
        <x:v>41965</x:v>
      </x:c>
      <x:c r="D14" s="41" t="n">
        <x:f>D12*(1+D13)</x:f>
        <x:v>44688.000000000015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0.17</x:v>
      </x:c>
      <x:c r="C15" s="43" t="n">
        <x:v>0.21</x:v>
      </x:c>
      <x:c r="D15" s="43" t="n">
        <x:v>0.235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6435.52</x:v>
      </x:c>
      <x:c r="C16" s="41" t="n">
        <x:f>C14*C15</x:f>
        <x:v>8812.65</x:v>
      </x:c>
      <x:c r="D16" s="41" t="n">
        <x:f>D14*D15</x:f>
        <x:v>10501.680000000002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-950</x:v>
      </x:c>
      <x:c r="C17" s="40" t="n">
        <x:v>-700</x:v>
      </x:c>
      <x:c r="D17" s="40" t="n">
        <x:v>-550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0.25</x:v>
      </x:c>
      <x:c r="C18" s="44" t="n">
        <x:v>0.24</x:v>
      </x:c>
      <x:c r="D18" s="44" t="n">
        <x:v>0.23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4105.91172</x:v>
      </x:c>
      <x:c r="C19" s="42" t="n">
        <x:f>(C16+C17)*(1-C18)*(1-C36)</x:f>
        <x:v>6153.282772</x:v>
      </x:c>
      <x:c r="D19" s="42" t="n">
        <x:f>(D16+D17)*(1-D18)*(1-D36)</x:f>
        <x:v>7647.468012800002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395</x:v>
      </x:c>
      <x:c r="C20" s="39" t="n">
        <x:v>390</x:v>
      </x:c>
      <x:c r="D20" s="39" t="n">
        <x:v>385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10.394713215189874</x:v>
      </x:c>
      <x:c r="C21" s="42" t="n">
        <x:f>C19/C20</x:f>
        <x:v>15.777648133333333</x:v>
      </x:c>
      <x:c r="D21" s="42" t="n">
        <x:f>D19/D20</x:f>
        <x:v>19.863553280000005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1400</x:v>
      </x:c>
      <x:c r="C22" s="39" t="n">
        <x:v>1500</x:v>
      </x:c>
      <x:c r="D22" s="39" t="n">
        <x:v>1700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1600</x:v>
      </x:c>
      <x:c r="C23" s="40" t="n">
        <x:v>1700</x:v>
      </x:c>
      <x:c r="D23" s="40" t="n">
        <x:v>1900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500</x:v>
      </x:c>
      <x:c r="C24" s="39" t="n">
        <x:v>650</x:v>
      </x:c>
      <x:c r="D24" s="39" t="n">
        <x:v>800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3405.91172</x:v>
      </x:c>
      <x:c r="C25" s="42" t="n">
        <x:f>C19+C22-C23-C24</x:f>
        <x:v>5303.282772</x:v>
      </x:c>
      <x:c r="D25" s="42" t="n">
        <x:f>D19+D22-D23-D24</x:f>
        <x:v>6647.468012800002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0.020987127458818783</x:v>
      </x:c>
      <x:c r="C26" s="45" t="n">
        <x:f>C25/($B$5*C20)</x:f>
        <x:v>0.03309762919276172</x:v>
      </x:c>
      <x:c r="D26" s="45" t="n">
        <x:f>D25/($B$5*D20)</x:f>
        <x:v>0.04202543673505515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21</x:v>
      </x:c>
      <x:c r="C27" s="40" t="n">
        <x:v>26</x:v>
      </x:c>
      <x:c r="D27" s="40" t="n">
        <x:v>30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218.28897751898737</x:v>
      </x:c>
      <x:c r="C28" s="41" t="n">
        <x:f>C21*C27</x:f>
        <x:v>410.21885146666665</x:v>
      </x:c>
      <x:c r="D28" s="41" t="n">
        <x:f>D21*D27</x:f>
        <x:v>595.9065984000001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8</x:v>
      </x:c>
      <x:c r="C29" s="40" t="n">
        <x:v>9</x:v>
      </x:c>
      <x:c r="D29" s="40" t="n">
        <x:v>10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-0.4492175306827617</x:v>
      </x:c>
      <x:c r="C30" s="45" t="n">
        <x:f>(C28+C29)/$B$5-1</x:f>
        <x:v>0.020369603180398155</x:v>
      </x:c>
      <x:c r="D30" s="45" t="n">
        <x:f>(D28+D29)/$B$5-1</x:f>
        <x:v>0.4747635351101378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-0.25785279808030115</x:v>
      </x:c>
      <x:c r="C31" s="51" t="n">
        <x:f>(1+C30)^(1/$B$6)-1</x:f>
        <x:v>0.010133458103630089</x:v>
      </x:c>
      <x:c r="D31" s="51" t="n">
        <x:f>(1+D30)^(1/$B$6)-1</x:f>
        <x:v>0.21439842519254682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171.1069773300472</x:v>
      </x:c>
      <x:c r="C32" s="52" t="n">
        <x:f>(C28+C29)/(1+$B$7)^$B$6</x:f>
        <x:v>316.98967974795215</x:v>
      </x:c>
      <x:c r="D32" s="52" t="n">
        <x:f>(D28+D29)/(1+$B$7)^$B$6</x:f>
        <x:v>458.1524373534973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25.492815476190476</x:v>
      </x:c>
      <x:c r="C33" s="42" t="n">
        <x:f>($B$5*(1+$B$7)^$B$6-C29)/C27</x:f>
        <x:v>20.551889423076922</x:v>
      </x:c>
      <x:c r="D33" s="42" t="n">
        <x:f>($B$5*(1+$B$7)^$B$6-D29)/D27</x:f>
        <x:v>17.778304166666665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0.38047132279123047</x:v>
      </x:c>
      <x:c r="C34" s="45" t="n">
        <x:f>(C33*C20/((1-C18)*(1-C36))-C17)/C14</x:f>
        <x:v>0.268497540994309</x:v>
      </x:c>
      <x:c r="D34" s="45" t="n">
        <x:f>(D33*D20/((1-D18)*(1-D36))-D17)/D14</x:f>
        <x:v>0.21162204653070307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39.52489996545761</x:v>
      </x:c>
      <x:c r="C35" s="42" t="n">
        <x:f>$B$5/C21</x:f>
        <x:v>26.040002700529236</x:v>
      </x:c>
      <x:c r="D35" s="42" t="n">
        <x:f>$B$5/D21</x:f>
        <x:v>20.68361054080249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0.002</x:v>
      </x:c>
      <x:c r="C36" s="44" t="n">
        <x:v>0.002</x:v>
      </x:c>
      <x:c r="D36" s="44" t="n">
        <x:v>0.002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2026E 营收 350 亿美元；研究估算。
H1 实绩 159.82 亿美元；H2 隐含 190.18 亿美元。
包含 Boyd 并表；Mobility 处置使同比口径变化。</x:v>
      </x:c>
      <x:c r="B38" s="9"/>
      <x:c r="C38" s="9"/>
      <x:c r="D38" s="9"/>
      <x:c r="E38" s="9"/>
    </x:row>
    <x:row r="39" ht="99" customHeight="1">
      <x:c r="A39" s="9" t="str">
        <x:v>基准营收增长 10% / 9%，并购与处置后的净额估算。
持续营业利润率 21%，包含经常摊销与集团费用。
净利息 7 亿美元，反映 Boyd 收购后的债务负担。
退出 26 倍：优质电气业务溢价，资本配置约束回报。</x:v>
      </x:c>
      <x:c r="B39" s="9"/>
      <x:c r="C39" s="9"/>
      <x:c r="D39" s="9"/>
      <x:c r="E39" s="9"/>
    </x:row>
    <x:row r="40" ht="75" customHeight="1">
      <x:c r="A40" s="9" t="str">
        <x:v>H1 FCF 为 11.88 亿美元；净债约 199.16 亿美元。
Boyd 现金收购价 95.5 亿美元已反映于负债。
2026 年公司计划不回购，不能预设股数大幅下降。</x:v>
      </x:c>
      <x:c r="B40" s="9"/>
      <x:c r="C40" s="9"/>
      <x:c r="D40" s="9"/>
      <x:c r="E40" s="9"/>
    </x:row>
    <x:row r="41" ht="53" customHeight="1">
      <x:c r="A41" s="9" t="str">
        <x:v>原料涨价、关税与固定价格订单存在时差。
调整 EPS 剔除的费用仍可能反复发生。</x:v>
      </x:c>
      <x:c r="B41" s="9"/>
      <x:c r="C41" s="9"/>
      <x:c r="D41" s="9"/>
      <x:c r="E41" s="9"/>
    </x:row>
    <x:row r="42" ht="32" customHeight="1">
      <x:c r="A42" s="9" t="str">
        <x:v>来源：P08 / P09；情景增长、利润率、倍数、股数、股息均为本研究假设。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SK 海力士：收入、利润与股东回报</x:v>
      </x:c>
      <x:c r="B1" s="4"/>
      <x:c r="C1" s="4"/>
      <x:c r="D1" s="4"/>
      <x:c r="E1" s="4"/>
    </x:row>
    <x:row r="2" ht="30" customHeight="1">
      <x:c r="A2" s="5" t="str">
        <x:v>金额：百万 KRW；股数：百万股；EPS 与价格：KRW/股。所有情景均为研究假设。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000660.KS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'行情'!B7</x:f>
        <x:v>1647000</x:v>
      </x:c>
      <x:c r="C5" s="10"/>
      <x:c r="D5" s="10"/>
      <x:c r="E5" s="10" t="str">
        <x:v>Yahoo日线未调整收盘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v>320000000</x:v>
      </x:c>
      <x:c r="C10" s="39" t="n">
        <x:v>320000000</x:v>
      </x:c>
      <x:c r="D10" s="39" t="n">
        <x:v>320000000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-0.1</x:v>
      </x:c>
      <x:c r="C11" s="43" t="n">
        <x:v>0.15</x:v>
      </x:c>
      <x:c r="D11" s="43" t="n">
        <x:v>0.3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288000000</x:v>
      </x:c>
      <x:c r="C12" s="41" t="n">
        <x:f>C10*(1+C11)</x:f>
        <x:v>368000000</x:v>
      </x:c>
      <x:c r="D12" s="41" t="n">
        <x:f>D10*(1+D11)</x:f>
        <x:v>416000000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-0.25</x:v>
      </x:c>
      <x:c r="C13" s="43" t="n">
        <x:v>-0.1</x:v>
      </x:c>
      <x:c r="D13" s="43" t="n">
        <x:v>0.1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216000000</x:v>
      </x:c>
      <x:c r="C14" s="41" t="n">
        <x:f>C12*(1+C13)</x:f>
        <x:v>331200000</x:v>
      </x:c>
      <x:c r="D14" s="41" t="n">
        <x:f>D12*(1+D13)</x:f>
        <x:v>457600000.00000006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0.3</x:v>
      </x:c>
      <x:c r="C15" s="43" t="n">
        <x:v>0.5</x:v>
      </x:c>
      <x:c r="D15" s="43" t="n">
        <x:v>0.65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64800000</x:v>
      </x:c>
      <x:c r="C16" s="41" t="n">
        <x:f>C14*C15</x:f>
        <x:v>165600000</x:v>
      </x:c>
      <x:c r="D16" s="41" t="n">
        <x:f>D14*D15</x:f>
        <x:v>297440000.00000006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0</x:v>
      </x:c>
      <x:c r="C17" s="40" t="n">
        <x:v>1000000</x:v>
      </x:c>
      <x:c r="D17" s="40" t="n">
        <x:v>2000000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0.27</x:v>
      </x:c>
      <x:c r="C18" s="44" t="n">
        <x:v>0.26</x:v>
      </x:c>
      <x:c r="D18" s="44" t="n">
        <x:v>0.25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47304000</x:v>
      </x:c>
      <x:c r="C19" s="42" t="n">
        <x:f>(C16+C17)*(1-C18)*(1-C36)</x:f>
        <x:v>123284000</x:v>
      </x:c>
      <x:c r="D19" s="42" t="n">
        <x:f>(D16+D17)*(1-D18)*(1-D36)</x:f>
        <x:v>224580000.00000006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720</x:v>
      </x:c>
      <x:c r="C20" s="39" t="n">
        <x:v>705</x:v>
      </x:c>
      <x:c r="D20" s="39" t="n">
        <x:v>695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65700</x:v>
      </x:c>
      <x:c r="C21" s="42" t="n">
        <x:f>C19/C20</x:f>
        <x:v>174870.9219858156</x:v>
      </x:c>
      <x:c r="D21" s="42" t="n">
        <x:f>D19/D20</x:f>
        <x:v>323136.6906474821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30000000</x:v>
      </x:c>
      <x:c r="C22" s="39" t="n">
        <x:v>35000000</x:v>
      </x:c>
      <x:c r="D22" s="39" t="n">
        <x:v>40000000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50000000</x:v>
      </x:c>
      <x:c r="C23" s="40" t="n">
        <x:v>55000000</x:v>
      </x:c>
      <x:c r="D23" s="40" t="n">
        <x:v>65000000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5000000</x:v>
      </x:c>
      <x:c r="C24" s="39" t="n">
        <x:v>10000000</x:v>
      </x:c>
      <x:c r="D24" s="39" t="n">
        <x:v>15000000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22304000</x:v>
      </x:c>
      <x:c r="C25" s="42" t="n">
        <x:f>C19+C22-C23-C24</x:f>
        <x:v>93284000</x:v>
      </x:c>
      <x:c r="D25" s="42" t="n">
        <x:f>D19+D22-D23-D24</x:f>
        <x:v>184580000.00000006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0.01880860824394522</x:v>
      </x:c>
      <x:c r="C26" s="45" t="n">
        <x:f>C25/($B$5*C20)</x:f>
        <x:v>0.08033863418121062</x:v>
      </x:c>
      <x:c r="D26" s="45" t="n">
        <x:f>D25/($B$5*D20)</x:f>
        <x:v>0.1612524188299634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8</x:v>
      </x:c>
      <x:c r="C27" s="40" t="n">
        <x:v>10</x:v>
      </x:c>
      <x:c r="D27" s="40" t="n">
        <x:v>13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525600</x:v>
      </x:c>
      <x:c r="C28" s="41" t="n">
        <x:f>C21*C27</x:f>
        <x:v>1748709.219858156</x:v>
      </x:c>
      <x:c r="D28" s="41" t="n">
        <x:f>D21*D27</x:f>
        <x:v>4200776.978417267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5000</x:v>
      </x:c>
      <x:c r="C29" s="40" t="n">
        <x:v>6000</x:v>
      </x:c>
      <x:c r="D29" s="40" t="n">
        <x:v>8000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-0.6778384942319369</x:v>
      </x:c>
      <x:c r="C30" s="45" t="n">
        <x:f>(C28+C29)/$B$5-1</x:f>
        <x:v>0.06539721910027696</x:v>
      </x:c>
      <x:c r="D30" s="45" t="n">
        <x:f>(D28+D29)/$B$5-1</x:f>
        <x:v>1.5554201447585108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-0.43240727121635614</x:v>
      </x:c>
      <x:c r="C31" s="51" t="n">
        <x:f>(1+C30)^(1/$B$6)-1</x:f>
        <x:v>0.032180807368688225</x:v>
      </x:c>
      <x:c r="D31" s="51" t="n">
        <x:f>(1+D30)^(1/$B$6)-1</x:f>
        <x:v>0.5985681545553543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401209.8298676749</x:v>
      </x:c>
      <x:c r="C32" s="52" t="n">
        <x:f>(C28+C29)/(1+$B$7)^$B$6</x:f>
        <x:v>1326812.2645430295</x:v>
      </x:c>
      <x:c r="D32" s="52" t="n">
        <x:f>(D28+D29)/(1+$B$7)^$B$6</x:f>
        <x:v>3182440.0592947206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271644.68749999994</x:v>
      </x:c>
      <x:c r="C33" s="42" t="n">
        <x:f>($B$5*(1+$B$7)^$B$6-C29)/C27</x:f>
        <x:v>217215.74999999994</x:v>
      </x:c>
      <x:c r="D33" s="42" t="n">
        <x:f>($B$5*(1+$B$7)^$B$6-D29)/D27</x:f>
        <x:v>166935.19230769228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1.2403867009132419</x:v>
      </x:c>
      <x:c r="C34" s="45" t="n">
        <x:f>(C33*C20/((1-C18)*(1-C36))-C17)/C14</x:f>
        <x:v>0.6218056524595247</x:v>
      </x:c>
      <x:c r="D34" s="45" t="n">
        <x:f>(D33*D20/((1-D18)*(1-D36))-D17)/D14</x:f>
        <x:v>0.33368286321050733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25.068493150684933</x:v>
      </x:c>
      <x:c r="C35" s="42" t="n">
        <x:f>$B$5/C21</x:f>
        <x:v>9.418375458291425</x:v>
      </x:c>
      <x:c r="D35" s="42" t="n">
        <x:f>$B$5/D21</x:f>
        <x:v>5.096914239914505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</x:v>
      </x:c>
      <x:c r="C36" s="44" t="n">
        <x:v>0</x:v>
      </x:c>
      <x:c r="D36" s="44" t="n">
        <x:v>0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2026E 营收 320 万亿韩元；研究估算。
Q2 营收 79.32 万亿韩元。
全年估算接近 Q2 年化水平，不能视为公司指引。</x:v>
      </x:c>
      <x:c r="B38" s="9"/>
      <x:c r="C38" s="9"/>
      <x:c r="D38" s="9"/>
      <x:c r="E38" s="9"/>
    </x:row>
    <x:row r="39" ht="99" customHeight="1">
      <x:c r="A39" s="9" t="str">
        <x:v>基准 2027 增长 15%，2028 下降 10%，纳入存储价格回落。
2028 营业利润率 50%，低于 Q2 的 76.3%。
股数 705 百万为研究假设，未把回购公告当作完成。
退出 10 倍：采用周期盈利倍数，避免将高峰利润永久化。</x:v>
      </x:c>
      <x:c r="B39" s="9"/>
      <x:c r="C39" s="9"/>
      <x:c r="D39" s="9"/>
      <x:c r="E39" s="9"/>
    </x:row>
    <x:row r="40" ht="75" customHeight="1">
      <x:c r="A40" s="9" t="str">
        <x:v>H1 CFO－PP&amp;E 为 73.812 万亿韩元。
模型提高扩产支出，并为营运资本占用留出现金。
投资资产收益 63.270 万亿韩元完全剔除。</x:v>
      </x:c>
      <x:c r="B40" s="9"/>
      <x:c r="C40" s="9"/>
      <x:c r="D40" s="9"/>
      <x:c r="E40" s="9"/>
    </x:row>
    <x:row r="41" ht="53" customHeight="1">
      <x:c r="A41" s="9" t="str">
        <x:v>三星已扩大量产 HBM4，竞争资格会变化。
回购收益可能被存储价格下跌和扩产支出抵消。</x:v>
      </x:c>
      <x:c r="B41" s="9"/>
      <x:c r="C41" s="9"/>
      <x:c r="D41" s="9"/>
      <x:c r="E41" s="9"/>
    </x:row>
    <x:row r="42" ht="32" customHeight="1">
      <x:c r="A42" s="9" t="str">
        <x:v>来源：SEMI04 / SEMI05 / SEMI06 / SEMI07 / SEMI11；情景增长、利润率、倍数、股数、股息均为本研究假设。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Micron：收入、利润与股东回报</x:v>
      </x:c>
      <x:c r="B1" s="4"/>
      <x:c r="C1" s="4"/>
      <x:c r="D1" s="4"/>
      <x:c r="E1" s="4"/>
    </x:row>
    <x:row r="2" ht="30" customHeight="1">
      <x:c r="A2" s="5" t="str">
        <x:v>金额：百万 USD；股数：百万股；EPS 与价格：USD/股。所有情景均为研究假设。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MU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'行情'!B8</x:f>
        <x:v>1016.59</x:v>
      </x:c>
      <x:c r="C5" s="10"/>
      <x:c r="D5" s="10"/>
      <x:c r="E5" s="10" t="str">
        <x:v>Yahoo日线未调整收盘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f>'财务事实'!E57+'财务事实'!E58</x:f>
        <x:v>128959</x:v>
      </x:c>
      <x:c r="C10" s="39" t="n">
        <x:f>'财务事实'!E57+'财务事实'!E58</x:f>
        <x:v>128959</x:v>
      </x:c>
      <x:c r="D10" s="39" t="n">
        <x:f>'财务事实'!E57+'财务事实'!E58</x:f>
        <x:v>128959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0.05</x:v>
      </x:c>
      <x:c r="C11" s="43" t="n">
        <x:v>0.3</x:v>
      </x:c>
      <x:c r="D11" s="43" t="n">
        <x:v>0.45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135406.95</x:v>
      </x:c>
      <x:c r="C12" s="41" t="n">
        <x:f>C10*(1+C11)</x:f>
        <x:v>167646.7</x:v>
      </x:c>
      <x:c r="D12" s="41" t="n">
        <x:f>D10*(1+D11)</x:f>
        <x:v>186990.55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-0.25</x:v>
      </x:c>
      <x:c r="C13" s="43" t="n">
        <x:v>-0.05</x:v>
      </x:c>
      <x:c r="D13" s="43" t="n">
        <x:v>0.15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101555.21250000001</x:v>
      </x:c>
      <x:c r="C14" s="41" t="n">
        <x:f>C12*(1+C13)</x:f>
        <x:v>159264.365</x:v>
      </x:c>
      <x:c r="D14" s="41" t="n">
        <x:f>D12*(1+D13)</x:f>
        <x:v>215039.13249999998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0.35</x:v>
      </x:c>
      <x:c r="C15" s="43" t="n">
        <x:v>0.6</x:v>
      </x:c>
      <x:c r="D15" s="43" t="n">
        <x:v>0.72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35544.324375000004</x:v>
      </x:c>
      <x:c r="C16" s="41" t="n">
        <x:f>C14*C15</x:f>
        <x:v>95558.61899999999</x:v>
      </x:c>
      <x:c r="D16" s="41" t="n">
        <x:f>D14*D15</x:f>
        <x:v>154828.17539999998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400</x:v>
      </x:c>
      <x:c r="C17" s="40" t="n">
        <x:v>1000</x:v>
      </x:c>
      <x:c r="D17" s="40" t="n">
        <x:v>1200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</x:v>
      </x:c>
      <x:c r="C18" s="44" t="n">
        <x:v>0.17</x:v>
      </x:c>
      <x:c r="D18" s="44" t="n">
        <x:v>0.16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28755.459500000004</x:v>
      </x:c>
      <x:c r="C19" s="42" t="n">
        <x:f>(C16+C17)*(1-C18)*(1-C36)</x:f>
        <x:v>80143.65376999999</x:v>
      </x:c>
      <x:c r="D19" s="42" t="n">
        <x:f>(D16+D17)*(1-D18)*(1-D36)</x:f>
        <x:v>131063.66733599998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1200</x:v>
      </x:c>
      <x:c r="C20" s="39" t="n">
        <x:v>1170</x:v>
      </x:c>
      <x:c r="D20" s="39" t="n">
        <x:v>1150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23.962882916666672</x:v>
      </x:c>
      <x:c r="C21" s="42" t="n">
        <x:f>C19/C20</x:f>
        <x:v>68.49884937606836</x:v>
      </x:c>
      <x:c r="D21" s="42" t="n">
        <x:f>D19/D20</x:f>
        <x:v>113.96840637913041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14000</x:v>
      </x:c>
      <x:c r="C22" s="39" t="n">
        <x:v>16000</x:v>
      </x:c>
      <x:c r="D22" s="39" t="n">
        <x:v>18000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35000</x:v>
      </x:c>
      <x:c r="C23" s="40" t="n">
        <x:v>38000</x:v>
      </x:c>
      <x:c r="D23" s="40" t="n">
        <x:v>42000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4000</x:v>
      </x:c>
      <x:c r="C24" s="39" t="n">
        <x:v>6000</x:v>
      </x:c>
      <x:c r="D24" s="39" t="n">
        <x:v>8000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3755.4595000000045</x:v>
      </x:c>
      <x:c r="C25" s="42" t="n">
        <x:f>C19+C22-C23-C24</x:f>
        <x:v>52143.65376999999</x:v>
      </x:c>
      <x:c r="D25" s="42" t="n">
        <x:f>D19+D22-D23-D24</x:f>
        <x:v>99063.66733599998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0.0030784776392973933</x:v>
      </x:c>
      <x:c r="C26" s="45" t="n">
        <x:f>C25/($B$5*C20)</x:f>
        <x:v>0.04383992115252406</x:v>
      </x:c>
      <x:c r="D26" s="45" t="n">
        <x:f>D25/($B$5*D20)</x:f>
        <x:v>0.08473654022035303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10</x:v>
      </x:c>
      <x:c r="C27" s="40" t="n">
        <x:v>15</x:v>
      </x:c>
      <x:c r="D27" s="40" t="n">
        <x:v>18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239.62882916666672</x:v>
      </x:c>
      <x:c r="C28" s="41" t="n">
        <x:f>C21*C27</x:f>
        <x:v>1027.4827406410254</x:v>
      </x:c>
      <x:c r="D28" s="41" t="n">
        <x:f>D21*D27</x:f>
        <x:v>2051.4313148243473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1</x:v>
      </x:c>
      <x:c r="C29" s="40" t="n">
        <x:v>1.2</x:v>
      </x:c>
      <x:c r="D29" s="40" t="n">
        <x:v>1.5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-0.7632980560829177</x:v>
      </x:c>
      <x:c r="C30" s="45" t="n">
        <x:f>(C28+C29)/$B$5-1</x:f>
        <x:v>0.011895396021036397</x:v>
      </x:c>
      <x:c r="D30" s="45" t="n">
        <x:f>(D28+D29)/$B$5-1</x:f>
        <x:v>1.0194289879148402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-0.5134797600129237</x:v>
      </x:c>
      <x:c r="C31" s="51" t="n">
        <x:f>(1+C30)^(1/$B$6)-1</x:f>
        <x:v>0.005930114879277415</x:v>
      </x:c>
      <x:c r="D31" s="51" t="n">
        <x:f>(1+D30)^(1/$B$6)-1</x:f>
        <x:v>0.4210661448063704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181.94996534341533</x:v>
      </x:c>
      <x:c r="C32" s="52" t="n">
        <x:f>(C28+C29)/(1+$B$7)^$B$6</x:f>
        <x:v>777.8319399932141</x:v>
      </x:c>
      <x:c r="D32" s="52" t="n">
        <x:f>(D28+D29)/(1+$B$7)^$B$6</x:f>
        <x:v>1552.3110130996956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134.34402749999998</x:v>
      </x:c>
      <x:c r="C33" s="42" t="n">
        <x:f>($B$5*(1+$B$7)^$B$6-C29)/C27</x:f>
        <x:v>89.54935166666665</x:v>
      </x:c>
      <x:c r="D33" s="42" t="n">
        <x:f>($B$5*(1+$B$7)^$B$6-D29)/D27</x:f>
        <x:v>74.60779305555555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1.9803615816371805</x:v>
      </x:c>
      <x:c r="C34" s="45" t="n">
        <x:f>(C33*C20/((1-C18)*(1-C36))-C17)/C14</x:f>
        <x:v>0.7863166290491775</x:v>
      </x:c>
      <x:c r="D34" s="45" t="n">
        <x:f>(D33*D20/((1-D18)*(1-D36))-D17)/D14</x:f>
        <x:v>0.46941047553335824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42.42352656545098</x:v>
      </x:c>
      <x:c r="C35" s="42" t="n">
        <x:f>$B$5/C21</x:f>
        <x:v>14.840979217311771</x:v>
      </x:c>
      <x:c r="D35" s="42" t="n">
        <x:f>$B$5/D21</x:f>
        <x:v>8.91992818271218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</x:v>
      </x:c>
      <x:c r="C36" s="44" t="n">
        <x:v>0</x:v>
      </x:c>
      <x:c r="D36" s="44" t="n">
        <x:v>0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FY2026 前三季收入 789.59 亿美元；Q4 指引中点 500 亿美元。
营收基数采用两者合计。
FY2028 为截至 2028 年 8 月附近的财年。</x:v>
      </x:c>
      <x:c r="B38" s="9"/>
      <x:c r="C38" s="9"/>
      <x:c r="D38" s="9"/>
      <x:c r="E38" s="9"/>
    </x:row>
    <x:row r="39" ht="99" customHeight="1">
      <x:c r="A39" s="9" t="str">
        <x:v>基准 2027 增长 30%，2028 下降 5%，兼顾产量和价格。
2028 营业利润率 60%，较 Q3 的 80.4% 回落约 20 个百分点。
股数 1,170 百万，包含潜在股权薪酬摊薄。
退出 15 倍：长期协议改善周期性，但地板价格无法核实。</x:v>
      </x:c>
      <x:c r="B39" s="9"/>
      <x:c r="C39" s="9"/>
      <x:c r="D39" s="9"/>
      <x:c r="E39" s="9"/>
    </x:row>
    <x:row r="40" ht="75" customHeight="1">
      <x:c r="A40" s="9" t="str">
        <x:v>FY26 Q3 CFO－gross PP&amp;E 为 175.62 亿美元。
协议预计带来约 180 亿美元可退款现金存款；收款时列融资现金流。
基准扩产支出 380 亿美元；客户存款不计入 FCF。</x:v>
      </x:c>
      <x:c r="B40" s="9"/>
      <x:c r="C40" s="9"/>
      <x:c r="D40" s="9"/>
      <x:c r="E40" s="9"/>
    </x:row>
    <x:row r="41" ht="53" customHeight="1">
      <x:c r="A41" s="9" t="str">
        <x:v>2027 新工厂和封装产能可能缓解短缺。
合同只覆盖部分产量，价格回落仍影响大部分业务。</x:v>
      </x:c>
      <x:c r="B41" s="9"/>
      <x:c r="C41" s="9"/>
      <x:c r="D41" s="9"/>
      <x:c r="E41" s="9"/>
    </x:row>
    <x:row r="42" ht="32" customHeight="1">
      <x:c r="A42" s="9" t="str">
        <x:v>来源：SEMI01 / SEMI02 / SEMI03 / F02；情景增长、利润率、倍数、股数、股息均为本研究假设。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GE Vernova：收入、利润与股东回报</x:v>
      </x:c>
      <x:c r="B1" s="4"/>
      <x:c r="C1" s="4"/>
      <x:c r="D1" s="4"/>
      <x:c r="E1" s="4"/>
    </x:row>
    <x:row r="2" ht="30" customHeight="1">
      <x:c r="A2" s="5" t="str">
        <x:v>金额：百万 USD；股数：百万股；EPS 与价格：USD/股。所有情景均为研究假设。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GEV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1" t="n">
        <x:f>'行情'!B10</x:f>
        <x:v>941.95</x:v>
      </x:c>
      <x:c r="C5" s="10"/>
      <x:c r="D5" s="10"/>
      <x:c r="E5" s="10" t="str">
        <x:v>Yahoo日线未调整收盘</x:v>
      </x:c>
    </x:row>
    <x:row r="6" ht="30" customHeight="1">
      <x:c r="A6" s="15" t="str">
        <x:v>持有年数</x:v>
      </x:c>
      <x:c r="B6" s="28" t="n">
        <x:v>2</x:v>
      </x:c>
      <x:c r="C6" s="15"/>
      <x:c r="D6" s="15"/>
      <x:c r="E6" s="15" t="str">
        <x:v>24 个月末估值；对应 2028 年盈利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研究要求；不是预期保证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28" customHeight="1">
      <x:c r="A10" s="15" t="str">
        <x:v>2026 营收基数</x:v>
      </x:c>
      <x:c r="B10" s="39" t="n">
        <x:f>('财务事实'!E63+'财务事实'!E64)/2</x:f>
        <x:v>46000</x:v>
      </x:c>
      <x:c r="C10" s="39" t="n">
        <x:f>('财务事实'!E63+'财务事实'!E64)/2</x:f>
        <x:v>46000</x:v>
      </x:c>
      <x:c r="D10" s="39" t="n">
        <x:f>('财务事实'!E63+'财务事实'!E64)/2</x:f>
        <x:v>46000</x:v>
      </x:c>
      <x:c r="E10" s="15" t="str">
        <x:v>公司指引或研究估计；详细依据见下方。</x:v>
      </x:c>
    </x:row>
    <x:row r="11" ht="28" customHeight="1">
      <x:c r="A11" s="10" t="str">
        <x:v>2027 营收增速</x:v>
      </x:c>
      <x:c r="B11" s="43" t="n">
        <x:v>0.08</x:v>
      </x:c>
      <x:c r="C11" s="43" t="n">
        <x:v>0.15</x:v>
      </x:c>
      <x:c r="D11" s="43" t="n">
        <x:v>0.22</x:v>
      </x:c>
      <x:c r="E11" s="10" t="str">
        <x:v>研究假设；包括销量、价格和产品组合。</x:v>
      </x:c>
    </x:row>
    <x:row r="12" ht="28" customHeight="1">
      <x:c r="A12" s="15" t="str">
        <x:v>2027 营收</x:v>
      </x:c>
      <x:c r="B12" s="41" t="n">
        <x:f>B10*(1+B11)</x:f>
        <x:v>49680</x:v>
      </x:c>
      <x:c r="C12" s="41" t="n">
        <x:f>C10*(1+C11)</x:f>
        <x:v>52899.99999999999</x:v>
      </x:c>
      <x:c r="D12" s="41" t="n">
        <x:f>D10*(1+D11)</x:f>
        <x:v>56120</x:v>
      </x:c>
      <x:c r="E12" s="15" t="str">
        <x:v>营收基数 ×（1＋2027 增速）</x:v>
      </x:c>
    </x:row>
    <x:row r="13" ht="28" customHeight="1">
      <x:c r="A13" s="10" t="str">
        <x:v>2028 营收增速</x:v>
      </x:c>
      <x:c r="B13" s="43" t="n">
        <x:v>0.07</x:v>
      </x:c>
      <x:c r="C13" s="43" t="n">
        <x:v>0.15</x:v>
      </x:c>
      <x:c r="D13" s="43" t="n">
        <x:v>0.2</x:v>
      </x:c>
      <x:c r="E13" s="10" t="str">
        <x:v>研究假设；反映产量、价格和产品组合变化。</x:v>
      </x:c>
    </x:row>
    <x:row r="14" ht="28" customHeight="1">
      <x:c r="A14" s="15" t="str">
        <x:v>2028 营收</x:v>
      </x:c>
      <x:c r="B14" s="41" t="n">
        <x:f>B12*(1+B13)</x:f>
        <x:v>53157.600000000006</x:v>
      </x:c>
      <x:c r="C14" s="41" t="n">
        <x:f>C12*(1+C13)</x:f>
        <x:v>60834.999999999985</x:v>
      </x:c>
      <x:c r="D14" s="41" t="n">
        <x:f>D12*(1+D13)</x:f>
        <x:v>67344</x:v>
      </x:c>
      <x:c r="E14" s="15" t="str">
        <x:v>2027 营收 ×（1＋2028 增速）</x:v>
      </x:c>
    </x:row>
    <x:row r="15" ht="28" customHeight="1">
      <x:c r="A15" s="10" t="str">
        <x:v>2028 持续营业利润率</x:v>
      </x:c>
      <x:c r="B15" s="43" t="n">
        <x:v>0.11</x:v>
      </x:c>
      <x:c r="C15" s="43" t="n">
        <x:v>0.16</x:v>
      </x:c>
      <x:c r="D15" s="43" t="n">
        <x:v>0.2</x:v>
      </x:c>
      <x:c r="E15" s="10" t="str">
        <x:v>包含经常折旧、摊销与股权薪酬。</x:v>
      </x:c>
    </x:row>
    <x:row r="16" ht="28" customHeight="1">
      <x:c r="A16" s="15" t="str">
        <x:v>2028 持续营业利润</x:v>
      </x:c>
      <x:c r="B16" s="41" t="n">
        <x:f>B14*B15</x:f>
        <x:v>5847.336</x:v>
      </x:c>
      <x:c r="C16" s="41" t="n">
        <x:f>C14*C15</x:f>
        <x:v>9733.599999999999</x:v>
      </x:c>
      <x:c r="D16" s="41" t="n">
        <x:f>D14*D15</x:f>
        <x:v>13468.800000000001</x:v>
      </x:c>
      <x:c r="E16" s="15" t="str">
        <x:v>2028 营收 × 持续营业利润率</x:v>
      </x:c>
    </x:row>
    <x:row r="17" ht="28" customHeight="1">
      <x:c r="A17" s="10" t="str">
        <x:v>净利息收入 /（支出）</x:v>
      </x:c>
      <x:c r="B17" s="40" t="n">
        <x:v>0</x:v>
      </x:c>
      <x:c r="C17" s="40" t="n">
        <x:v>100</x:v>
      </x:c>
      <x:c r="D17" s="40" t="n">
        <x:v>200</x:v>
      </x:c>
      <x:c r="E17" s="10" t="str">
        <x:v>利息按净现金或净债务负担估算。</x:v>
      </x:c>
    </x:row>
    <x:row r="18" ht="28" customHeight="1">
      <x:c r="A18" s="15" t="str">
        <x:v>持续税率</x:v>
      </x:c>
      <x:c r="B18" s="44" t="n">
        <x:v>0.26</x:v>
      </x:c>
      <x:c r="C18" s="44" t="n">
        <x:v>0.25</x:v>
      </x:c>
      <x:c r="D18" s="44" t="n">
        <x:v>0.24</x:v>
      </x:c>
      <x:c r="E18" s="15" t="str">
        <x:v>可持续税率；剔除一次性税收影响。</x:v>
      </x:c>
    </x:row>
    <x:row r="19" ht="28" customHeight="1">
      <x:c r="A19" s="10" t="str">
        <x:v>2028 持续净利润</x:v>
      </x:c>
      <x:c r="B19" s="42" t="n">
        <x:f>(B16+B17)*(1-B18)*(1-B36)</x:f>
        <x:v>4327.02864</x:v>
      </x:c>
      <x:c r="C19" s="42" t="n">
        <x:f>(C16+C17)*(1-C18)*(1-C36)</x:f>
        <x:v>7375.199999999999</x:v>
      </x:c>
      <x:c r="D19" s="42" t="n">
        <x:f>(D16+D17)*(1-D18)*(1-D36)</x:f>
        <x:v>10388.288</x:v>
      </x:c>
      <x:c r="E19" s="10" t="str">
        <x:v>税后集团利润 ×（1－归属扣减比例）；扣减见第 36 行。</x:v>
      </x:c>
    </x:row>
    <x:row r="20" ht="28" customHeight="1">
      <x:c r="A20" s="15" t="str">
        <x:v>稀释股数（百万股）</x:v>
      </x:c>
      <x:c r="B20" s="39" t="n">
        <x:v>275</x:v>
      </x:c>
      <x:c r="C20" s="39" t="n">
        <x:v>265</x:v>
      </x:c>
      <x:c r="D20" s="39" t="n">
        <x:v>255</x:v>
      </x:c>
      <x:c r="E20" s="15" t="str">
        <x:v>包含潜在摊薄；回购未默认全部完成。</x:v>
      </x:c>
    </x:row>
    <x:row r="21" ht="28" customHeight="1">
      <x:c r="A21" s="10" t="str">
        <x:v>2028 每股收益</x:v>
      </x:c>
      <x:c r="B21" s="42" t="n">
        <x:f>B19/B20</x:f>
        <x:v>15.734649600000001</x:v>
      </x:c>
      <x:c r="C21" s="42" t="n">
        <x:f>C19/C20</x:f>
        <x:v>27.83094339622641</x:v>
      </x:c>
      <x:c r="D21" s="42" t="n">
        <x:f>D19/D20</x:f>
        <x:v>40.73838431372549</x:v>
      </x:c>
      <x:c r="E21" s="10" t="str">
        <x:v>持续净利润 / 稀释股数</x:v>
      </x:c>
    </x:row>
    <x:row r="22" ht="28" customHeight="1">
      <x:c r="A22" s="15" t="str">
        <x:v>折旧与摊销</x:v>
      </x:c>
      <x:c r="B22" s="39" t="n">
        <x:v>2100</x:v>
      </x:c>
      <x:c r="C22" s="39" t="n">
        <x:v>2400</x:v>
      </x:c>
      <x:c r="D22" s="39" t="n">
        <x:v>2700</x:v>
      </x:c>
      <x:c r="E22" s="15" t="str">
        <x:v>含在营业利润中，在现金流桥接中加回。</x:v>
      </x:c>
    </x:row>
    <x:row r="23" ht="28" customHeight="1">
      <x:c r="A23" s="10" t="str">
        <x:v>资本开支</x:v>
      </x:c>
      <x:c r="B23" s="40" t="n">
        <x:v>3000</x:v>
      </x:c>
      <x:c r="C23" s="40" t="n">
        <x:v>3500</x:v>
      </x:c>
      <x:c r="D23" s="40" t="n">
        <x:v>4200</x:v>
      </x:c>
      <x:c r="E23" s="10" t="str">
        <x:v>含有形与无形资产；并购支出另外评估。</x:v>
      </x:c>
    </x:row>
    <x:row r="24" ht="28" customHeight="1">
      <x:c r="A24" s="15" t="str">
        <x:v>营运资本现金占用</x:v>
      </x:c>
      <x:c r="B24" s="39" t="n">
        <x:v>700</x:v>
      </x:c>
      <x:c r="C24" s="39" t="n">
        <x:v>1000</x:v>
      </x:c>
      <x:c r="D24" s="39" t="n">
        <x:v>1400</x:v>
      </x:c>
      <x:c r="E24" s="15" t="str">
        <x:v>正数表示资金占用；未延续预付款流入高峰。</x:v>
      </x:c>
    </x:row>
    <x:row r="25" ht="28" customHeight="1">
      <x:c r="A25" s="10" t="str">
        <x:v>2028 估算自由现金流</x:v>
      </x:c>
      <x:c r="B25" s="42" t="n">
        <x:f>B19+B22-B23-B24</x:f>
        <x:v>2727.0286400000005</x:v>
      </x:c>
      <x:c r="C25" s="42" t="n">
        <x:f>C19+C22-C23-C24</x:f>
        <x:v>5275.199999999999</x:v>
      </x:c>
      <x:c r="D25" s="42" t="n">
        <x:f>D19+D22-D23-D24</x:f>
        <x:v>7488.2880000000005</x:v>
      </x:c>
      <x:c r="E25" s="10" t="str">
        <x:v>持续净利＋折旧摊销－资本开支－营运资本占用</x:v>
      </x:c>
    </x:row>
    <x:row r="26" ht="28" customHeight="1">
      <x:c r="A26" s="15" t="str">
        <x:v>按现价计算的 FCF 收益率</x:v>
      </x:c>
      <x:c r="B26" s="45" t="n">
        <x:f>B25/($B$5*B20)</x:f>
        <x:v>0.01052759465132776</x:v>
      </x:c>
      <x:c r="C26" s="45" t="n">
        <x:f>C25/($B$5*C20)</x:f>
        <x:v>0.02113319719129425</x:v>
      </x:c>
      <x:c r="D26" s="45" t="n">
        <x:f>D25/($B$5*D20)</x:f>
        <x:v>0.031175577572182863</x:v>
      </x:c>
      <x:c r="E26" s="15" t="str">
        <x:v>估算 FCF /（当前价格 × 稀释股数）</x:v>
      </x:c>
    </x:row>
    <x:row r="27" ht="28" customHeight="1">
      <x:c r="A27" s="10" t="str">
        <x:v>退出市盈率</x:v>
      </x:c>
      <x:c r="B27" s="40" t="n">
        <x:v>23</x:v>
      </x:c>
      <x:c r="C27" s="40" t="n">
        <x:v>30</x:v>
      </x:c>
      <x:c r="D27" s="40" t="n">
        <x:v>36</x:v>
      </x:c>
      <x:c r="E27" s="10" t="str">
        <x:v>研究选择的退出倍数；并非市场一致预期。</x:v>
      </x:c>
    </x:row>
    <x:row r="28" ht="28" customHeight="1">
      <x:c r="A28" s="15" t="str">
        <x:v>24 个月目标价格</x:v>
      </x:c>
      <x:c r="B28" s="41" t="n">
        <x:f>B21*B27</x:f>
        <x:v>361.89694080000004</x:v>
      </x:c>
      <x:c r="C28" s="41" t="n">
        <x:f>C21*C27</x:f>
        <x:v>834.9283018867923</x:v>
      </x:c>
      <x:c r="D28" s="41" t="n">
        <x:f>D21*D27</x:f>
        <x:v>1466.5818352941176</x:v>
      </x:c>
      <x:c r="E28" s="15" t="str">
        <x:v>持续 EPS × 退出市盈率</x:v>
      </x:c>
    </x:row>
    <x:row r="29" ht="28" customHeight="1">
      <x:c r="A29" s="10" t="str">
        <x:v>两年每股股息合计</x:v>
      </x:c>
      <x:c r="B29" s="40" t="n">
        <x:v>3</x:v>
      </x:c>
      <x:c r="C29" s="40" t="n">
        <x:v>4</x:v>
      </x:c>
      <x:c r="D29" s="40" t="n">
        <x:v>5</x:v>
      </x:c>
      <x:c r="E29" s="10" t="str">
        <x:v>研究假设；股息按期末收到近似。</x:v>
      </x:c>
    </x:row>
    <x:row r="30" ht="28" customHeight="1">
      <x:c r="A30" s="15" t="str">
        <x:v>24 个月总回报</x:v>
      </x:c>
      <x:c r="B30" s="45" t="n">
        <x:f>(B28+B29)/$B$5-1</x:f>
        <x:v>-0.6126153821328095</x:v>
      </x:c>
      <x:c r="C30" s="45" t="n">
        <x:f>(C28+C29)/$B$5-1</x:f>
        <x:v>-0.10937066522979755</x:v>
      </x:c>
      <x:c r="D30" s="45" t="n">
        <x:f>(D28+D29)/$B$5-1</x:f>
        <x:v>0.5622717079400366</x:v>
      </x:c>
      <x:c r="E30" s="15" t="str">
        <x:v>（目标价格＋股息）/ 当前价格－1</x:v>
      </x:c>
    </x:row>
    <x:row r="31" ht="28" customHeight="1">
      <x:c r="A31" s="50" t="str">
        <x:v>24 个月年化回报</x:v>
      </x:c>
      <x:c r="B31" s="51" t="n">
        <x:f>(1+B30)^(1/$B$6)-1</x:f>
        <x:v>-0.377597704159769</x:v>
      </x:c>
      <x:c r="C31" s="51" t="n">
        <x:f>(1+C30)^(1/$B$6)-1</x:f>
        <x:v>-0.056268398976593303</x:v>
      </x:c>
      <x:c r="D31" s="51" t="n">
        <x:f>(1+D30)^(1/$B$6)-1</x:f>
        <x:v>0.2499086798402661</x:v>
      </x:c>
      <x:c r="E31" s="50" t="str">
        <x:v>（1＋总回报）^(1 / 持有年数)－1</x:v>
      </x:c>
    </x:row>
    <x:row r="32" ht="28" customHeight="1">
      <x:c r="A32" s="50" t="str">
        <x:v>回报门槛买入上限</x:v>
      </x:c>
      <x:c r="B32" s="52" t="n">
        <x:f>(B28+B29)/(1+$B$7)^$B$6</x:f>
        <x:v>275.91451100189045</x:v>
      </x:c>
      <x:c r="C32" s="52" t="n">
        <x:f>(C28+C29)/(1+$B$7)^$B$6</x:f>
        <x:v>634.3503227877447</x:v>
      </x:c>
      <x:c r="D32" s="52" t="n">
        <x:f>(D28+D29)/(1+$B$7)^$B$6</x:f>
        <x:v>1112.7272856666298</x:v>
      </x:c>
      <x:c r="E32" s="50" t="str">
        <x:v>（目标价格＋股息）/（1＋回报门槛）^持有年数</x:v>
      </x:c>
    </x:row>
    <x:row r="33" ht="28" customHeight="1">
      <x:c r="A33" s="10" t="str">
        <x:v>现价达到门槛所需 EPS</x:v>
      </x:c>
      <x:c r="B33" s="42" t="n">
        <x:f>($B$5*(1+$B$7)^$B$6-B29)/B27</x:f>
        <x:v>54.031690217391294</x:v>
      </x:c>
      <x:c r="C33" s="42" t="n">
        <x:f>($B$5*(1+$B$7)^$B$6-C29)/C27</x:f>
        <x:v>41.39096249999999</x:v>
      </x:c>
      <x:c r="D33" s="42" t="n">
        <x:f>($B$5*(1+$B$7)^$B$6-D29)/D27</x:f>
        <x:v>34.464690972222215</x:v>
      </x:c>
      <x:c r="E33" s="10" t="str">
        <x:v>（现价 ×（1＋门槛）^年数－股息）/ 退出倍数</x:v>
      </x:c>
    </x:row>
    <x:row r="34" ht="28" customHeight="1">
      <x:c r="A34" s="15" t="str">
        <x:v>达到门槛所需营业利润率</x:v>
      </x:c>
      <x:c r="B34" s="45" t="n">
        <x:f>(B33*B20/((1-B18)*(1-B36))-B17)/B14</x:f>
        <x:v>0.3777323343707026</x:v>
      </x:c>
      <x:c r="C34" s="45" t="n">
        <x:f>(C33*C20/((1-C18)*(1-C36))-C17)/C14</x:f>
        <x:v>0.23875740527656777</x:v>
      </x:c>
      <x:c r="D34" s="45" t="n">
        <x:f>(D33*D20/((1-D18)*(1-D36))-D17)/D14</x:f>
        <x:v>0.16874273560721748</x:v>
      </x:c>
      <x:c r="E34" s="15" t="str">
        <x:v>固定其他基准假设，反算达到回报门槛所需利润率。</x:v>
      </x:c>
    </x:row>
    <x:row r="35" ht="28" customHeight="1">
      <x:c r="A35" s="10" t="str">
        <x:v>现价 / 2028 持续 EPS</x:v>
      </x:c>
      <x:c r="B35" s="42" t="n">
        <x:f>$B$5/B21</x:f>
        <x:v>59.86469504856339</x:v>
      </x:c>
      <x:c r="C35" s="42" t="n">
        <x:f>$B$5/C21</x:f>
        <x:v>33.845421141121605</x:v>
      </x:c>
      <x:c r="D35" s="42" t="n">
        <x:f>$B$5/D21</x:f>
        <x:v>23.1219282715304</x:v>
      </x:c>
      <x:c r="E35" s="10" t="str">
        <x:v>用于评估当前价格包含多少未来盈利。</x:v>
      </x:c>
    </x:row>
    <x:row r="36" ht="28" customHeight="1">
      <x:c r="A36" s="15" t="str">
        <x:v>税后归属扣减比例</x:v>
      </x:c>
      <x:c r="B36" s="44" t="n">
        <x:v>0</x:v>
      </x:c>
      <x:c r="C36" s="44" t="n">
        <x:v>0</x:v>
      </x:c>
      <x:c r="D36" s="44" t="n">
        <x:v>0</x:v>
      </x:c>
      <x:c r="E36" s="15" t="str">
        <x:v>少数股东 / 联营净影响估算；从集团税后利润扣除。</x:v>
      </x:c>
    </x:row>
    <x:row r="37" ht="23" customHeight="1">
      <x:c r="A37" s="2"/>
      <x:c r="B37" s="2"/>
      <x:c r="C37" s="2"/>
      <x:c r="D37" s="2"/>
      <x:c r="E37" s="2"/>
    </x:row>
    <x:row r="38" ht="75" customHeight="1">
      <x:c r="A38" s="9" t="str">
        <x:v>2026 营收指引 455–465 亿美元。
模型使用指引中点 460 亿美元。
净利模型以持续营业利润起算。</x:v>
      </x:c>
      <x:c r="B38" s="9"/>
      <x:c r="C38" s="9"/>
      <x:c r="D38" s="9"/>
      <x:c r="E38" s="9"/>
    </x:row>
    <x:row r="39" ht="99" customHeight="1">
      <x:c r="A39" s="9" t="str">
        <x:v>基准营收连续两年增长 15%，高价气机和电网订单交付。
持续营业利润率 16%，显著高于 Q2 GAAP 5.9%。
净利息仅留 1 亿美元，不延用投资重估收益。
退出 30 倍已含服务与短缺溢价，当前价格仍偏高。</x:v>
      </x:c>
      <x:c r="B39" s="9"/>
      <x:c r="C39" s="9"/>
      <x:c r="D39" s="9"/>
      <x:c r="E39" s="9"/>
    </x:row>
    <x:row r="40" ht="75" customHeight="1">
      <x:c r="A40" s="9" t="str">
        <x:v>H1 FCF 为 98.97 亿美元；营运资本流入约 117 亿美元。
新增预订和预付款可提前带来现金，后续要履行交付义务。
模型不假设预付款永久增加，采用正向营运资本支出。</x:v>
      </x:c>
      <x:c r="B40" s="9"/>
      <x:c r="C40" s="9"/>
      <x:c r="D40" s="9"/>
      <x:c r="E40" s="9"/>
    </x:row>
    <x:row r="41" ht="53" customHeight="1">
      <x:c r="A41" s="9" t="str">
        <x:v>63 GW 为产能预订，53 GW 才是气机设备积压。
风电亏损、交付和客户推迟会影响全公司利润。</x:v>
      </x:c>
      <x:c r="B41" s="9"/>
      <x:c r="C41" s="9"/>
      <x:c r="D41" s="9"/>
      <x:c r="E41" s="9"/>
    </x:row>
    <x:row r="42" ht="32" customHeight="1">
      <x:c r="A42" s="9" t="str">
        <x:v>来源：P01 / P02 / P03 / P14；情景增长、利润率、倍数、股数、股息均为本研究假设。</x:v>
      </x:c>
      <x:c r="B42" s="9"/>
      <x:c r="C42" s="9"/>
      <x:c r="D42" s="9"/>
      <x:c r="E42" s="9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38:E38"/>
    <x:mergeCell ref="A39:E39"/>
    <x:mergeCell ref="A40:E40"/>
    <x:mergeCell ref="A41:E41"/>
    <x:mergeCell ref="A42:E4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7.220001220703125" hidden="0" customWidth="1"/>
    <x:col min="2" max="2" width="20" hidden="0" customWidth="1"/>
    <x:col min="3" max="3" width="20" hidden="0" customWidth="1"/>
    <x:col min="4" max="4" width="20" hidden="0" customWidth="1"/>
    <x:col min="5" max="5" width="66.66999816894531" hidden="0" customWidth="1"/>
  </x:cols>
  <x:sheetData>
    <x:row r="1" ht="43" customHeight="1">
      <x:c r="A1" s="4" t="str">
        <x:v>Talen：股东现金流与估值</x:v>
      </x:c>
      <x:c r="B1" s="4"/>
      <x:c r="C1" s="4"/>
      <x:c r="D1" s="4"/>
      <x:c r="E1" s="4"/>
    </x:row>
    <x:row r="2" ht="30" customHeight="1">
      <x:c r="A2" s="5" t="str">
        <x:v>金额：百万美元；股数：百万股；每股金额：美元。三情景均为研究假设。</x:v>
      </x:c>
      <x:c r="B2" s="5"/>
      <x:c r="C2" s="5"/>
      <x:c r="D2" s="5"/>
      <x:c r="E2" s="5"/>
    </x:row>
    <x:row r="3" ht="23" customHeight="1">
      <x:c r="A3" s="2"/>
      <x:c r="B3" s="2"/>
      <x:c r="C3" s="2"/>
      <x:c r="D3" s="2"/>
      <x:c r="E3" s="2"/>
    </x:row>
    <x:row r="4" ht="38" customHeight="1">
      <x:c r="A4" s="8" t="str">
        <x:v>证券</x:v>
      </x:c>
      <x:c r="B4" s="8" t="str">
        <x:v>TLN</x:v>
      </x:c>
      <x:c r="C4" s="8" t="str">
        <x:v>研究门槛</x:v>
      </x:c>
      <x:c r="D4" s="8" t="str">
        <x:v>24 个月</x:v>
      </x:c>
      <x:c r="E4" s="8" t="str">
        <x:v>计算说明</x:v>
      </x:c>
    </x:row>
    <x:row r="5" ht="30" customHeight="1">
      <x:c r="A5" s="10" t="str">
        <x:v>当前价格</x:v>
      </x:c>
      <x:c r="B5" s="10" t="n">
        <x:f>'行情'!B18</x:f>
        <x:v>317</x:v>
      </x:c>
      <x:c r="C5" s="10"/>
      <x:c r="D5" s="10"/>
      <x:c r="E5" s="10" t="str">
        <x:v>历史日线收盘；2026-09-04</x:v>
      </x:c>
    </x:row>
    <x:row r="6" ht="30" customHeight="1">
      <x:c r="A6" s="15" t="str">
        <x:v>持有年数</x:v>
      </x:c>
      <x:c r="B6" s="32" t="n">
        <x:v>2</x:v>
      </x:c>
      <x:c r="C6" s="15"/>
      <x:c r="D6" s="15"/>
      <x:c r="E6" s="15" t="str">
        <x:v>2028 年末现金流估值；24 个月持有近似</x:v>
      </x:c>
    </x:row>
    <x:row r="7" ht="30" customHeight="1">
      <x:c r="A7" s="10" t="str">
        <x:v>年化回报门槛</x:v>
      </x:c>
      <x:c r="B7" s="33" t="n">
        <x:v>0.15</x:v>
      </x:c>
      <x:c r="C7" s="10"/>
      <x:c r="D7" s="10"/>
      <x:c r="E7" s="10" t="str">
        <x:v>研究要求</x:v>
      </x:c>
    </x:row>
    <x:row r="8" ht="23" customHeight="1">
      <x:c r="A8" s="2"/>
      <x:c r="B8" s="2"/>
      <x:c r="C8" s="2"/>
      <x:c r="D8" s="2"/>
      <x:c r="E8" s="2"/>
    </x:row>
    <x:row r="9" ht="32" customHeight="1">
      <x:c r="A9" s="8" t="str">
        <x:v>项目</x:v>
      </x:c>
      <x:c r="B9" s="8" t="str">
        <x:v>悲观</x:v>
      </x:c>
      <x:c r="C9" s="8" t="str">
        <x:v>基准</x:v>
      </x:c>
      <x:c r="D9" s="8" t="str">
        <x:v>乐观</x:v>
      </x:c>
      <x:c r="E9" s="8" t="str">
        <x:v>口径与假设</x:v>
      </x:c>
    </x:row>
    <x:row r="10" ht="30" customHeight="1">
      <x:c r="A10" s="15" t="str">
        <x:v>2028 基础调整 FCF / 参考股</x:v>
      </x:c>
      <x:c r="B10" s="39" t="n">
        <x:v>25</x:v>
      </x:c>
      <x:c r="C10" s="39" t="n">
        <x:v>40</x:v>
      </x:c>
      <x:c r="D10" s="39" t="n">
        <x:v>43</x:v>
      </x:c>
      <x:c r="E10" s="15" t="str">
        <x:v>基准 40 为公司展望；25 / 43 为研究压力与上行情景。</x:v>
      </x:c>
    </x:row>
    <x:row r="11" ht="30" customHeight="1">
      <x:c r="A11" s="10" t="str">
        <x:v>公司展望参考股数</x:v>
      </x:c>
      <x:c r="B11" s="40" t="n">
        <x:v>47.9</x:v>
      </x:c>
      <x:c r="C11" s="40" t="n">
        <x:v>47.9</x:v>
      </x:c>
      <x:c r="D11" s="40" t="n">
        <x:v>47.9</x:v>
      </x:c>
      <x:c r="E11" s="10" t="str">
        <x:v>47.9 百万股；2028 的回购增益 8 美元未计入。</x:v>
      </x:c>
    </x:row>
    <x:row r="12" ht="30" customHeight="1">
      <x:c r="A12" s="15" t="str">
        <x:v>2028 基础调整 FCF</x:v>
      </x:c>
      <x:c r="B12" s="41" t="n">
        <x:f>B10*B11</x:f>
        <x:v>1197.5</x:v>
      </x:c>
      <x:c r="C12" s="41" t="n">
        <x:f>C10*C11</x:f>
        <x:v>1916</x:v>
      </x:c>
      <x:c r="D12" s="41" t="n">
        <x:f>D10*D11</x:f>
        <x:v>2059.7</x:v>
      </x:c>
      <x:c r="E12" s="15" t="str">
        <x:v>基础每股现金流 × 参考股数。</x:v>
      </x:c>
    </x:row>
    <x:row r="13" ht="30" customHeight="1">
      <x:c r="A13" s="10" t="str">
        <x:v>持续激励股东成本</x:v>
      </x:c>
      <x:c r="B13" s="40" t="n">
        <x:v>250</x:v>
      </x:c>
      <x:c r="C13" s="40" t="n">
        <x:v>200</x:v>
      </x:c>
      <x:c r="D13" s="40" t="n">
        <x:v>150</x:v>
      </x:c>
      <x:c r="E13" s="10" t="str">
        <x:v>研究估计 150–250 百万美元；非直接复制会计费用。</x:v>
      </x:c>
    </x:row>
    <x:row r="14" ht="30" customHeight="1">
      <x:c r="A14" s="15" t="str">
        <x:v>额外增长 / 转换投入</x:v>
      </x:c>
      <x:c r="B14" s="39" t="n">
        <x:v>150</x:v>
      </x:c>
      <x:c r="C14" s="39" t="n">
        <x:v>100</x:v>
      </x:c>
      <x:c r="D14" s="39" t="n">
        <x:v>50</x:v>
      </x:c>
      <x:c r="E14" s="15" t="str">
        <x:v>研究储备 50–150 百万美元；不再增加未签 PPA 收益。</x:v>
      </x:c>
    </x:row>
    <x:row r="15" ht="30" customHeight="1">
      <x:c r="A15" s="10" t="str">
        <x:v>退役与环境义务现金支出</x:v>
      </x:c>
      <x:c r="B15" s="40" t="n">
        <x:v>55</x:v>
      </x:c>
      <x:c r="C15" s="40" t="n">
        <x:v>40</x:v>
      </x:c>
      <x:c r="D15" s="40" t="n">
        <x:v>30</x:v>
      </x:c>
      <x:c r="E15" s="10" t="str">
        <x:v>研究估计 30–55 百万美元。</x:v>
      </x:c>
    </x:row>
    <x:row r="16" ht="30" customHeight="1">
      <x:c r="A16" s="15" t="str">
        <x:v>2028 估算股东 FCF</x:v>
      </x:c>
      <x:c r="B16" s="41" t="n">
        <x:f>B12-B13-B14-B15-B21-B27</x:f>
        <x:v>613.5</x:v>
      </x:c>
      <x:c r="C16" s="41" t="n">
        <x:f>C12-C13-C14-C15-C21-C27</x:f>
        <x:v>1547</x:v>
      </x:c>
      <x:c r="D16" s="41" t="n">
        <x:f>D12-D13-D14-D15-D21-D27</x:f>
        <x:v>1800.6999999999998</x:v>
      </x:c>
      <x:c r="E16" s="15" t="str">
        <x:v>调整 FCF 减激励、增长投入、退役、营运资本和还本。</x:v>
      </x:c>
    </x:row>
    <x:row r="17" ht="30" customHeight="1">
      <x:c r="A17" s="10" t="str">
        <x:v>估值股数</x:v>
      </x:c>
      <x:c r="B17" s="40" t="n">
        <x:v>47.9</x:v>
      </x:c>
      <x:c r="C17" s="40" t="n">
        <x:v>47.9</x:v>
      </x:c>
      <x:c r="D17" s="40" t="n">
        <x:v>47.9</x:v>
      </x:c>
      <x:c r="E17" s="10" t="str">
        <x:v>固定 47.9；激励已作经济扣减，未另计摊薄或回购。</x:v>
      </x:c>
    </x:row>
    <x:row r="18" ht="30" customHeight="1">
      <x:c r="A18" s="15" t="str">
        <x:v>2028 股东 FCF / 股</x:v>
      </x:c>
      <x:c r="B18" s="41" t="n">
        <x:f>B16/B17</x:f>
        <x:v>12.807933194154488</x:v>
      </x:c>
      <x:c r="C18" s="41" t="n">
        <x:f>C16/C17</x:f>
        <x:v>32.2964509394572</x:v>
      </x:c>
      <x:c r="D18" s="41" t="n">
        <x:f>D16/D17</x:f>
        <x:v>37.592901878914404</x:v>
      </x:c>
      <x:c r="E18" s="15" t="str">
        <x:v>估算股东 FCF / 估值股数。</x:v>
      </x:c>
    </x:row>
    <x:row r="19" ht="30" customHeight="1">
      <x:c r="A19" s="10" t="str">
        <x:v>退出权益 FCF 倍数</x:v>
      </x:c>
      <x:c r="B19" s="40" t="n">
        <x:v>11</x:v>
      </x:c>
      <x:c r="C19" s="40" t="n">
        <x:v>14</x:v>
      </x:c>
      <x:c r="D19" s="40" t="n">
        <x:v>17</x:v>
      </x:c>
      <x:c r="E19" s="10" t="str">
        <x:v>研究假设；基准 14 倍，对应约 7.1% 现金收益率。</x:v>
      </x:c>
    </x:row>
    <x:row r="20" ht="30" customHeight="1">
      <x:c r="A20" s="15" t="str">
        <x:v>按现价计算的 FCF 收益率</x:v>
      </x:c>
      <x:c r="B20" s="45" t="n">
        <x:f>B16/($B$5*B17)</x:f>
        <x:v>0.04040357474496684</x:v>
      </x:c>
      <x:c r="C20" s="45" t="n">
        <x:f>C16/($B$5*C17)</x:f>
        <x:v>0.10188154870491231</x:v>
      </x:c>
      <x:c r="D20" s="45" t="n">
        <x:f>D16/($B$5*D17)</x:f>
        <x:v>0.11858959583253754</x:v>
      </x:c>
      <x:c r="E20" s="15" t="str">
        <x:v>估算股东 FCF /（现价 × 估值股数）。</x:v>
      </x:c>
    </x:row>
    <x:row r="21" ht="30" customHeight="1">
      <x:c r="A21" s="10" t="str">
        <x:v>年度强制还本</x:v>
      </x:c>
      <x:c r="B21" s="40" t="n">
        <x:v>29</x:v>
      </x:c>
      <x:c r="C21" s="40" t="n">
        <x:v>29</x:v>
      </x:c>
      <x:c r="D21" s="40" t="n">
        <x:v>29</x:v>
      </x:c>
      <x:c r="E21" s="10" t="str">
        <x:v>约 29 百万美元；未假设等额再融资。</x:v>
      </x:c>
    </x:row>
    <x:row r="22" ht="58" customHeight="1">
      <x:c r="A22" s="9" t="str">
        <x:v>2026 调整 FCF 指引 12–13.5 亿美元。以现价计算，中点约 11.9 倍。
再扣基准股东成本及还本 3.69 亿美元后，指示倍数约 16.8 倍；这是研究归一化比较。</x:v>
      </x:c>
      <x:c r="B22" s="56"/>
      <x:c r="C22" s="56"/>
      <x:c r="D22" s="56"/>
      <x:c r="E22" s="9"/>
    </x:row>
    <x:row r="23" ht="58" customHeight="1">
      <x:c r="A23" s="9" t="str">
        <x:v>2028 公司展望已计入既有 PPA 最低爬坡。2028 对应约 480 MW，完整合同价值到 2030 附近。
展望依赖 2026-06-30 电价曲线；2028 发电量约 30% 已套保，长期合同仅约占毛利 10%。</x:v>
      </x:c>
      <x:c r="B23" s="56"/>
      <x:c r="C23" s="56"/>
      <x:c r="D23" s="56"/>
      <x:c r="E23" s="9"/>
    </x:row>
    <x:row r="24" ht="35" customHeight="1">
      <x:c r="A24" s="9" t="str">
        <x:v>调整 FCF 已扣维护开支、核燃料、利息、现金税及养老金。净债 91.71 亿美元不再从权益估值重复扣除。</x:v>
      </x:c>
      <x:c r="B24" s="56"/>
      <x:c r="C24" s="56"/>
      <x:c r="D24" s="56"/>
      <x:c r="E24" s="9"/>
    </x:row>
    <x:row r="25" ht="35" customHeight="1">
      <x:c r="A25" s="9" t="str">
        <x:v>H1 现金激励结算 4.95 亿美元来自到期负债类奖励，不年化。持续激励假设参考未来未确认费用。</x:v>
      </x:c>
      <x:c r="B25" s="56"/>
      <x:c r="C25" s="56"/>
      <x:c r="D25" s="56"/>
      <x:c r="E25" s="9"/>
    </x:row>
    <x:row r="26" ht="35" customHeight="1">
      <x:c r="A26" s="9" t="str">
        <x:v>悲观基础现金流较公司展望少 7.185 亿美元。电价每低 10 美元/MWh，2028 毛利约少 4.4 亿美元。</x:v>
      </x:c>
      <x:c r="B26" s="56"/>
      <x:c r="C26" s="56"/>
      <x:c r="D26" s="56"/>
      <x:c r="E26" s="9"/>
    </x:row>
    <x:row r="27" ht="30" customHeight="1">
      <x:c r="A27" s="10" t="str">
        <x:v>营运资本占用</x:v>
      </x:c>
      <x:c r="B27" s="40" t="n">
        <x:v>100</x:v>
      </x:c>
      <x:c r="C27" s="40" t="n">
        <x:v>0</x:v>
      </x:c>
      <x:c r="D27" s="40" t="n">
        <x:v>0</x:v>
      </x:c>
      <x:c r="E27" s="10" t="str">
        <x:v>基准为零；悲观另留 100 百万美元。</x:v>
      </x:c>
    </x:row>
    <x:row r="28" ht="30" customHeight="1">
      <x:c r="A28" s="15" t="str">
        <x:v>24 个月目标价格</x:v>
      </x:c>
      <x:c r="B28" s="41" t="n">
        <x:f>B18*B19</x:f>
        <x:v>140.88726513569938</x:v>
      </x:c>
      <x:c r="C28" s="41" t="n">
        <x:f>C18*C19</x:f>
        <x:v>452.1503131524008</x:v>
      </x:c>
      <x:c r="D28" s="41" t="n">
        <x:f>D18*D19</x:f>
        <x:v>639.0793319415449</x:v>
      </x:c>
      <x:c r="E28" s="15" t="str">
        <x:v>每股股东 FCF × 退出权益 FCF 倍数。</x:v>
      </x:c>
    </x:row>
    <x:row r="29" ht="30" customHeight="1">
      <x:c r="A29" s="10" t="str">
        <x:v>两年每股股息合计</x:v>
      </x:c>
      <x:c r="B29" s="40" t="n">
        <x:v>0</x:v>
      </x:c>
      <x:c r="C29" s="40" t="n">
        <x:v>0</x:v>
      </x:c>
      <x:c r="D29" s="40" t="n">
        <x:v>0</x:v>
      </x:c>
      <x:c r="E29" s="10" t="str">
        <x:v>设为零；无额外回购收益，未提前分配留存现金。</x:v>
      </x:c>
    </x:row>
    <x:row r="30" ht="30" customHeight="1">
      <x:c r="A30" s="15" t="str">
        <x:v>24 个月总回报</x:v>
      </x:c>
      <x:c r="B30" s="45" t="n">
        <x:f>(B28+B29)/$B$5-1</x:f>
        <x:v>-0.5555606778053648</x:v>
      </x:c>
      <x:c r="C30" s="45" t="n">
        <x:f>(C28+C29)/$B$5-1</x:f>
        <x:v>0.4263416818687724</x:v>
      </x:c>
      <x:c r="D30" s="45" t="n">
        <x:f>(D28+D29)/$B$5-1</x:f>
        <x:v>1.0160231291531385</x:v>
      </x:c>
      <x:c r="E30" s="15" t="str">
        <x:v>（目标价＋股息）/ 现价－1</x:v>
      </x:c>
    </x:row>
    <x:row r="31" ht="30" customHeight="1">
      <x:c r="A31" s="47" t="str">
        <x:v>24 个月年化回报</x:v>
      </x:c>
      <x:c r="B31" s="48" t="n">
        <x:f>(1+B30)^(1/$B$6)-1</x:f>
        <x:v>-0.3333371750317592</x:v>
      </x:c>
      <x:c r="C31" s="48" t="n">
        <x:f>(1+C30)^(1/$B$6)-1</x:f>
        <x:v>0.19429547511023104</x:v>
      </x:c>
      <x:c r="D31" s="48" t="n">
        <x:f>(1+D30)^(1/$B$6)-1</x:f>
        <x:v>0.4198672927964566</x:v>
      </x:c>
      <x:c r="E31" s="47" t="str">
        <x:v>（1＋总回报）^(1 / 持有年数)－1</x:v>
      </x:c>
    </x:row>
    <x:row r="32" ht="30" customHeight="1">
      <x:c r="A32" s="47" t="str">
        <x:v>回报门槛买入上限</x:v>
      </x:c>
      <x:c r="B32" s="49" t="n">
        <x:f>(B28+B29)/(1+$B$7)^$B$6</x:f>
        <x:v>106.53101333512242</x:v>
      </x:c>
      <x:c r="C32" s="49" t="n">
        <x:f>(C28+C29)/(1+$B$7)^$B$6</x:f>
        <x:v>341.8905959564468</x:v>
      </x:c>
      <x:c r="D32" s="49" t="n">
        <x:f>(D28+D29)/(1+$B$7)^$B$6</x:f>
        <x:v>483.2357897478601</x:v>
      </x:c>
      <x:c r="E32" s="47" t="str">
        <x:v>（目标价＋股息）/（1＋回报门槛）^持有年数</x:v>
      </x:c>
    </x:row>
    <x:row r="33" ht="23" customHeight="1">
      <x:c r="A33" s="2"/>
      <x:c r="B33" s="2"/>
      <x:c r="C33" s="2"/>
      <x:c r="D33" s="2"/>
      <x:c r="E33" s="2"/>
    </x:row>
    <x:row r="34" ht="35" customHeight="1">
      <x:c r="A34" s="9" t="str">
        <x:v>第 2 位：基准回报较高，电价、债务、核电停机和合同爬坡的风险高于台积电的常规经营风险。</x:v>
      </x:c>
      <x:c r="B34" s="9"/>
      <x:c r="C34" s="9"/>
      <x:c r="D34" s="9"/>
      <x:c r="E34" s="9"/>
    </x:row>
    <x:row r="35" ht="35" customHeight="1">
      <x:c r="A35" s="9" t="str">
        <x:v>仅计已签合同最低爬坡。新建 4 GW 合同机会、未完成回购和 SMR 不计入基准。来源见 MP 系列。</x:v>
      </x:c>
      <x:c r="B35" s="9"/>
      <x:c r="C35" s="9"/>
      <x:c r="D35" s="9"/>
      <x:c r="E35" s="9"/>
    </x:row>
    <x:row r="36" ht="23" customHeight="1">
      <x:c r="A36" s="2"/>
      <x:c r="B36" s="2"/>
      <x:c r="C36" s="2"/>
      <x:c r="D36" s="2"/>
      <x:c r="E36" s="2"/>
    </x:row>
    <x:row r="37" ht="23" customHeight="1">
      <x:c r="A37" s="2"/>
      <x:c r="B37" s="2"/>
      <x:c r="C37" s="2"/>
      <x:c r="D37" s="2"/>
      <x:c r="E37" s="2"/>
    </x:row>
    <x:row r="38" ht="23" customHeight="1">
      <x:c r="A38" s="2"/>
      <x:c r="B38" s="2"/>
      <x:c r="C38" s="2"/>
      <x:c r="D38" s="2"/>
      <x:c r="E38" s="2"/>
    </x:row>
    <x:row r="39" ht="23" customHeight="1">
      <x:c r="A39" s="2"/>
      <x:c r="B39" s="2"/>
      <x:c r="C39" s="2"/>
      <x:c r="D39" s="2"/>
      <x:c r="E39" s="2"/>
    </x:row>
    <x:row r="40" ht="23" customHeight="1">
      <x:c r="A40" s="2"/>
      <x:c r="B40" s="2"/>
      <x:c r="C40" s="2"/>
      <x:c r="D40" s="2"/>
      <x:c r="E40" s="2"/>
    </x:row>
    <x:row r="41" ht="23" customHeight="1">
      <x:c r="A41" s="2"/>
      <x:c r="B41" s="2"/>
      <x:c r="C41" s="2"/>
      <x:c r="D41" s="2"/>
      <x:c r="E41" s="2"/>
    </x:row>
    <x:row r="42" ht="23" customHeight="1">
      <x:c r="A42" s="2"/>
      <x:c r="B42" s="2"/>
      <x:c r="C42" s="2"/>
      <x:c r="D42" s="2"/>
      <x:c r="E42" s="2"/>
    </x:row>
    <x:row r="43" ht="23" customHeight="1">
      <x:c r="A43" s="2"/>
      <x:c r="B43" s="2"/>
      <x:c r="C43" s="2"/>
      <x:c r="D43" s="2"/>
      <x:c r="E43" s="2"/>
    </x:row>
    <x:row r="44" ht="23" customHeight="1">
      <x:c r="A44" s="2"/>
      <x:c r="B44" s="2"/>
      <x:c r="C44" s="2"/>
      <x:c r="D44" s="2"/>
      <x:c r="E44" s="2"/>
    </x:row>
    <x:row r="45" ht="23" customHeight="1">
      <x:c r="A45" s="2"/>
      <x:c r="B45" s="2"/>
      <x:c r="C45" s="2"/>
      <x:c r="D45" s="2"/>
      <x:c r="E45" s="2"/>
    </x:row>
    <x:row r="46" ht="23" customHeight="1">
      <x:c r="A46" s="2"/>
      <x:c r="B46" s="2"/>
      <x:c r="C46" s="2"/>
      <x:c r="D46" s="2"/>
      <x:c r="E46" s="2"/>
    </x:row>
    <x:row r="47" ht="23" customHeight="1">
      <x:c r="A47" s="2"/>
      <x:c r="B47" s="2"/>
      <x:c r="C47" s="2"/>
      <x:c r="D47" s="2"/>
      <x:c r="E47" s="2"/>
    </x:row>
    <x:row r="48" ht="23" customHeight="1">
      <x:c r="A48" s="2"/>
      <x:c r="B48" s="2"/>
      <x:c r="C48" s="2"/>
      <x:c r="D48" s="2"/>
      <x:c r="E48" s="2"/>
    </x:row>
    <x:row r="49" ht="23" customHeight="1">
      <x:c r="A49" s="2"/>
      <x:c r="B49" s="2"/>
      <x:c r="C49" s="2"/>
      <x:c r="D49" s="2"/>
      <x:c r="E49" s="2"/>
    </x:row>
    <x:row r="50" ht="23" customHeight="1">
      <x:c r="A50" s="2"/>
      <x:c r="B50" s="2"/>
      <x:c r="C50" s="2"/>
      <x:c r="D50" s="2"/>
      <x:c r="E50" s="2"/>
    </x:row>
    <x:row r="51" ht="23" customHeight="1">
      <x:c r="A51" s="2"/>
      <x:c r="B51" s="2"/>
      <x:c r="C51" s="2"/>
      <x:c r="D51" s="2"/>
      <x:c r="E51" s="2"/>
    </x:row>
    <x:row r="52" ht="23" customHeight="1">
      <x:c r="A52" s="2"/>
      <x:c r="B52" s="2"/>
      <x:c r="C52" s="2"/>
      <x:c r="D52" s="2"/>
      <x:c r="E52" s="2"/>
    </x:row>
    <x:row r="53" ht="23" customHeight="1">
      <x:c r="A53" s="2"/>
      <x:c r="B53" s="2"/>
      <x:c r="C53" s="2"/>
      <x:c r="D53" s="2"/>
      <x:c r="E53" s="2"/>
    </x:row>
    <x:row r="54" ht="23" customHeight="1">
      <x:c r="A54" s="2"/>
      <x:c r="B54" s="2"/>
      <x:c r="C54" s="2"/>
      <x:c r="D54" s="2"/>
      <x:c r="E54" s="2"/>
    </x:row>
    <x:row r="55" ht="23" customHeight="1">
      <x:c r="A55" s="2"/>
      <x:c r="B55" s="2"/>
      <x:c r="C55" s="2"/>
      <x:c r="D55" s="2"/>
      <x:c r="E55" s="2"/>
    </x:row>
    <x:row r="56" ht="23" customHeight="1">
      <x:c r="A56" s="2"/>
      <x:c r="B56" s="2"/>
      <x:c r="C56" s="2"/>
      <x:c r="D56" s="2"/>
      <x:c r="E56" s="2"/>
    </x:row>
    <x:row r="57" ht="23" customHeight="1">
      <x:c r="A57" s="2"/>
      <x:c r="B57" s="2"/>
      <x:c r="C57" s="2"/>
      <x:c r="D57" s="2"/>
      <x:c r="E57" s="2"/>
    </x:row>
    <x:row r="58" ht="23" customHeight="1">
      <x:c r="A58" s="2"/>
      <x:c r="B58" s="2"/>
      <x:c r="C58" s="2"/>
      <x:c r="D58" s="2"/>
      <x:c r="E58" s="2"/>
    </x:row>
    <x:row r="59" ht="23" customHeight="1">
      <x:c r="A59" s="2"/>
      <x:c r="B59" s="2"/>
      <x:c r="C59" s="2"/>
      <x:c r="D59" s="2"/>
      <x:c r="E59" s="2"/>
    </x:row>
    <x:row r="60" ht="23" customHeight="1">
      <x:c r="A60" s="2"/>
      <x:c r="B60" s="2"/>
      <x:c r="C60" s="2"/>
      <x:c r="D60" s="2"/>
      <x:c r="E60" s="2"/>
    </x:row>
    <x:row r="61" ht="23" customHeight="1">
      <x:c r="A61" s="2"/>
      <x:c r="B61" s="2"/>
      <x:c r="C61" s="2"/>
      <x:c r="D61" s="2"/>
      <x:c r="E61" s="2"/>
    </x:row>
    <x:row r="62" ht="23" customHeight="1">
      <x:c r="A62" s="2"/>
      <x:c r="B62" s="2"/>
      <x:c r="C62" s="2"/>
      <x:c r="D62" s="2"/>
      <x:c r="E62" s="2"/>
    </x:row>
    <x:row r="63" ht="23" customHeight="1">
      <x:c r="A63" s="2"/>
      <x:c r="B63" s="2"/>
      <x:c r="C63" s="2"/>
      <x:c r="D63" s="2"/>
      <x:c r="E63" s="2"/>
    </x:row>
    <x:row r="64" ht="23" customHeight="1">
      <x:c r="A64" s="2"/>
      <x:c r="B64" s="2"/>
      <x:c r="C64" s="2"/>
      <x:c r="D64" s="2"/>
      <x:c r="E64" s="2"/>
    </x:row>
    <x:row r="65" ht="23" customHeight="1">
      <x:c r="A65" s="2"/>
      <x:c r="B65" s="2"/>
      <x:c r="C65" s="2"/>
      <x:c r="D65" s="2"/>
      <x:c r="E65" s="2"/>
    </x:row>
    <x:row r="66" ht="23" customHeight="1">
      <x:c r="A66" s="2"/>
      <x:c r="B66" s="2"/>
      <x:c r="C66" s="2"/>
      <x:c r="D66" s="2"/>
      <x:c r="E66" s="2"/>
    </x:row>
    <x:row r="67" ht="23" customHeight="1">
      <x:c r="A67" s="2"/>
      <x:c r="B67" s="2"/>
      <x:c r="C67" s="2"/>
      <x:c r="D67" s="2"/>
      <x:c r="E67" s="2"/>
    </x:row>
    <x:row r="68" ht="23" customHeight="1">
      <x:c r="A68" s="2"/>
      <x:c r="B68" s="2"/>
      <x:c r="C68" s="2"/>
      <x:c r="D68" s="2"/>
      <x:c r="E68" s="2"/>
    </x:row>
    <x:row r="69" ht="23" customHeight="1">
      <x:c r="A69" s="2"/>
      <x:c r="B69" s="2"/>
      <x:c r="C69" s="2"/>
      <x:c r="D69" s="2"/>
      <x:c r="E69" s="2"/>
    </x:row>
    <x:row r="70" ht="23" customHeight="1">
      <x:c r="A70" s="2"/>
      <x:c r="B70" s="2"/>
      <x:c r="C70" s="2"/>
      <x:c r="D70" s="2"/>
      <x:c r="E70" s="2"/>
    </x:row>
    <x:row r="71" ht="23" customHeight="1">
      <x:c r="A71" s="2"/>
      <x:c r="B71" s="2"/>
      <x:c r="C71" s="2"/>
      <x:c r="D71" s="2"/>
      <x:c r="E71" s="2"/>
    </x:row>
    <x:row r="72" ht="23" customHeight="1">
      <x:c r="A72" s="2"/>
      <x:c r="B72" s="2"/>
      <x:c r="C72" s="2"/>
      <x:c r="D72" s="2"/>
      <x:c r="E72" s="2"/>
    </x:row>
    <x:row r="73" ht="23" customHeight="1">
      <x:c r="A73" s="2"/>
      <x:c r="B73" s="2"/>
      <x:c r="C73" s="2"/>
      <x:c r="D73" s="2"/>
      <x:c r="E73" s="2"/>
    </x:row>
    <x:row r="74" ht="23" customHeight="1">
      <x:c r="A74" s="2"/>
      <x:c r="B74" s="2"/>
      <x:c r="C74" s="2"/>
      <x:c r="D74" s="2"/>
      <x:c r="E74" s="2"/>
    </x:row>
    <x:row r="75" ht="23" customHeight="1">
      <x:c r="A75" s="2"/>
      <x:c r="B75" s="2"/>
      <x:c r="C75" s="2"/>
      <x:c r="D75" s="2"/>
      <x:c r="E75" s="2"/>
    </x:row>
    <x:row r="76" ht="23" customHeight="1">
      <x:c r="A76" s="2"/>
      <x:c r="B76" s="2"/>
      <x:c r="C76" s="2"/>
      <x:c r="D76" s="2"/>
      <x:c r="E76" s="2"/>
    </x:row>
    <x:row r="77" ht="23" customHeight="1">
      <x:c r="A77" s="2"/>
      <x:c r="B77" s="2"/>
      <x:c r="C77" s="2"/>
      <x:c r="D77" s="2"/>
      <x:c r="E77" s="2"/>
    </x:row>
    <x:row r="78" ht="23" customHeight="1">
      <x:c r="A78" s="2"/>
      <x:c r="B78" s="2"/>
      <x:c r="C78" s="2"/>
      <x:c r="D78" s="2"/>
      <x:c r="E78" s="2"/>
    </x:row>
    <x:row r="79" ht="23" customHeight="1">
      <x:c r="A79" s="2"/>
      <x:c r="B79" s="2"/>
      <x:c r="C79" s="2"/>
      <x:c r="D79" s="2"/>
      <x:c r="E79" s="2"/>
    </x:row>
    <x:row r="80" ht="23" customHeight="1">
      <x:c r="A80" s="2"/>
      <x:c r="B80" s="2"/>
      <x:c r="C80" s="2"/>
      <x:c r="D80" s="2"/>
      <x:c r="E80" s="2"/>
    </x:row>
    <x:row r="81" ht="23" customHeight="1">
      <x:c r="A81" s="2"/>
      <x:c r="B81" s="2"/>
      <x:c r="C81" s="2"/>
      <x:c r="D81" s="2"/>
      <x:c r="E81" s="2"/>
    </x:row>
    <x:row r="82" ht="23" customHeight="1">
      <x:c r="A82" s="2"/>
      <x:c r="B82" s="2"/>
      <x:c r="C82" s="2"/>
      <x:c r="D82" s="2"/>
      <x:c r="E82" s="2"/>
    </x:row>
    <x:row r="83" ht="23" customHeight="1">
      <x:c r="A83" s="2"/>
      <x:c r="B83" s="2"/>
      <x:c r="C83" s="2"/>
      <x:c r="D83" s="2"/>
      <x:c r="E83" s="2"/>
    </x:row>
    <x:row r="84" ht="23" customHeight="1">
      <x:c r="A84" s="2"/>
      <x:c r="B84" s="2"/>
      <x:c r="C84" s="2"/>
      <x:c r="D84" s="2"/>
      <x:c r="E84" s="2"/>
    </x:row>
    <x:row r="85" ht="23" customHeight="1">
      <x:c r="A85" s="2"/>
      <x:c r="B85" s="2"/>
      <x:c r="C85" s="2"/>
      <x:c r="D85" s="2"/>
      <x:c r="E85" s="2"/>
    </x:row>
    <x:row r="86" ht="23" customHeight="1">
      <x:c r="A86" s="2"/>
      <x:c r="B86" s="2"/>
      <x:c r="C86" s="2"/>
      <x:c r="D86" s="2"/>
      <x:c r="E86" s="2"/>
    </x:row>
    <x:row r="87" ht="23" customHeight="1">
      <x:c r="A87" s="2"/>
      <x:c r="B87" s="2"/>
      <x:c r="C87" s="2"/>
      <x:c r="D87" s="2"/>
      <x:c r="E87" s="2"/>
    </x:row>
    <x:row r="88" ht="23" customHeight="1">
      <x:c r="A88" s="2"/>
      <x:c r="B88" s="2"/>
      <x:c r="C88" s="2"/>
      <x:c r="D88" s="2"/>
      <x:c r="E88" s="2"/>
    </x:row>
    <x:row r="89" ht="23" customHeight="1">
      <x:c r="A89" s="2"/>
      <x:c r="B89" s="2"/>
      <x:c r="C89" s="2"/>
      <x:c r="D89" s="2"/>
      <x:c r="E89" s="2"/>
    </x:row>
    <x:row r="90" ht="23" customHeight="1">
      <x:c r="A90" s="2"/>
      <x:c r="B90" s="2"/>
      <x:c r="C90" s="2"/>
      <x:c r="D90" s="2"/>
      <x:c r="E90" s="2"/>
    </x:row>
    <x:row r="91" ht="23" customHeight="1">
      <x:c r="A91" s="2"/>
      <x:c r="B91" s="2"/>
      <x:c r="C91" s="2"/>
      <x:c r="D91" s="2"/>
      <x:c r="E91" s="2"/>
    </x:row>
    <x:row r="92" ht="23" customHeight="1">
      <x:c r="A92" s="2"/>
      <x:c r="B92" s="2"/>
      <x:c r="C92" s="2"/>
      <x:c r="D92" s="2"/>
      <x:c r="E92" s="2"/>
    </x:row>
    <x:row r="93" ht="23" customHeight="1">
      <x:c r="A93" s="2"/>
      <x:c r="B93" s="2"/>
      <x:c r="C93" s="2"/>
      <x:c r="D93" s="2"/>
      <x:c r="E93" s="2"/>
    </x:row>
    <x:row r="94" ht="23" customHeight="1">
      <x:c r="A94" s="2"/>
      <x:c r="B94" s="2"/>
      <x:c r="C94" s="2"/>
      <x:c r="D94" s="2"/>
      <x:c r="E94" s="2"/>
    </x:row>
    <x:row r="95" ht="23" customHeight="1">
      <x:c r="A95" s="2"/>
      <x:c r="B95" s="2"/>
      <x:c r="C95" s="2"/>
      <x:c r="D95" s="2"/>
      <x:c r="E95" s="2"/>
    </x:row>
    <x:row r="96" ht="23" customHeight="1">
      <x:c r="A96" s="2"/>
      <x:c r="B96" s="2"/>
      <x:c r="C96" s="2"/>
      <x:c r="D96" s="2"/>
      <x:c r="E96" s="2"/>
    </x:row>
    <x:row r="97" ht="23" customHeight="1">
      <x:c r="A97" s="2"/>
      <x:c r="B97" s="2"/>
      <x:c r="C97" s="2"/>
      <x:c r="D97" s="2"/>
      <x:c r="E97" s="2"/>
    </x:row>
    <x:row r="98" ht="23" customHeight="1">
      <x:c r="A98" s="2"/>
      <x:c r="B98" s="2"/>
      <x:c r="C98" s="2"/>
      <x:c r="D98" s="2"/>
      <x:c r="E98" s="2"/>
    </x:row>
    <x:row r="99" ht="23" customHeight="1">
      <x:c r="A99" s="2"/>
      <x:c r="B99" s="2"/>
      <x:c r="C99" s="2"/>
      <x:c r="D99" s="2"/>
      <x:c r="E99" s="2"/>
    </x:row>
    <x:row r="100" ht="23" customHeight="1">
      <x:c r="A100" s="2"/>
      <x:c r="B100" s="2"/>
      <x:c r="C100" s="2"/>
      <x:c r="D100" s="2"/>
      <x:c r="E100" s="2"/>
    </x:row>
    <x:row r="101" ht="23" customHeight="1">
      <x:c r="A101" s="2"/>
      <x:c r="B101" s="2"/>
      <x:c r="C101" s="2"/>
      <x:c r="D101" s="2"/>
      <x:c r="E101" s="2"/>
    </x:row>
    <x:row r="102" ht="23" customHeight="1">
      <x:c r="A102" s="2"/>
      <x:c r="B102" s="2"/>
      <x:c r="C102" s="2"/>
      <x:c r="D102" s="2"/>
      <x:c r="E102" s="2"/>
    </x:row>
    <x:row r="103" ht="23" customHeight="1">
      <x:c r="A103" s="2"/>
      <x:c r="B103" s="2"/>
      <x:c r="C103" s="2"/>
      <x:c r="D103" s="2"/>
      <x:c r="E103" s="2"/>
    </x:row>
    <x:row r="104" ht="23" customHeight="1">
      <x:c r="A104" s="2"/>
      <x:c r="B104" s="2"/>
      <x:c r="C104" s="2"/>
      <x:c r="D104" s="2"/>
      <x:c r="E104" s="2"/>
    </x:row>
    <x:row r="105" ht="23" customHeight="1">
      <x:c r="A105" s="2"/>
      <x:c r="B105" s="2"/>
      <x:c r="C105" s="2"/>
      <x:c r="D105" s="2"/>
      <x:c r="E105" s="2"/>
    </x:row>
    <x:row r="106" ht="23" customHeight="1">
      <x:c r="A106" s="2"/>
      <x:c r="B106" s="2"/>
      <x:c r="C106" s="2"/>
      <x:c r="D106" s="2"/>
      <x:c r="E106" s="2"/>
    </x:row>
    <x:row r="107" ht="23" customHeight="1">
      <x:c r="A107" s="2"/>
      <x:c r="B107" s="2"/>
      <x:c r="C107" s="2"/>
      <x:c r="D107" s="2"/>
      <x:c r="E107" s="2"/>
    </x:row>
    <x:row r="108" ht="23" customHeight="1">
      <x:c r="A108" s="2"/>
      <x:c r="B108" s="2"/>
      <x:c r="C108" s="2"/>
      <x:c r="D108" s="2"/>
      <x:c r="E108" s="2"/>
    </x:row>
    <x:row r="109" ht="23" customHeight="1">
      <x:c r="A109" s="2"/>
      <x:c r="B109" s="2"/>
      <x:c r="C109" s="2"/>
      <x:c r="D109" s="2"/>
      <x:c r="E109" s="2"/>
    </x:row>
    <x:row r="110" ht="23" customHeight="1">
      <x:c r="A110" s="2"/>
      <x:c r="B110" s="2"/>
      <x:c r="C110" s="2"/>
      <x:c r="D110" s="2"/>
      <x:c r="E110" s="2"/>
    </x:row>
    <x:row r="111" ht="23" customHeight="1">
      <x:c r="A111" s="2"/>
      <x:c r="B111" s="2"/>
      <x:c r="C111" s="2"/>
      <x:c r="D111" s="2"/>
      <x:c r="E111" s="2"/>
    </x:row>
    <x:row r="112" ht="23" customHeight="1">
      <x:c r="A112" s="2"/>
      <x:c r="B112" s="2"/>
      <x:c r="C112" s="2"/>
      <x:c r="D112" s="2"/>
      <x:c r="E112" s="2"/>
    </x:row>
    <x:row r="113" ht="23" customHeight="1">
      <x:c r="A113" s="2"/>
      <x:c r="B113" s="2"/>
      <x:c r="C113" s="2"/>
      <x:c r="D113" s="2"/>
      <x:c r="E113" s="2"/>
    </x:row>
    <x:row r="114" ht="23" customHeight="1">
      <x:c r="A114" s="2"/>
      <x:c r="B114" s="2"/>
      <x:c r="C114" s="2"/>
      <x:c r="D114" s="2"/>
      <x:c r="E114" s="2"/>
    </x:row>
    <x:row r="115" ht="23" customHeight="1">
      <x:c r="A115" s="2"/>
      <x:c r="B115" s="2"/>
      <x:c r="C115" s="2"/>
      <x:c r="D115" s="2"/>
      <x:c r="E115" s="2"/>
    </x:row>
    <x:row r="116" ht="23" customHeight="1">
      <x:c r="A116" s="2"/>
      <x:c r="B116" s="2"/>
      <x:c r="C116" s="2"/>
      <x:c r="D116" s="2"/>
      <x:c r="E116" s="2"/>
    </x:row>
    <x:row r="117" ht="23" customHeight="1">
      <x:c r="A117" s="2"/>
      <x:c r="B117" s="2"/>
      <x:c r="C117" s="2"/>
      <x:c r="D117" s="2"/>
      <x:c r="E117" s="2"/>
    </x:row>
    <x:row r="118" ht="23" customHeight="1">
      <x:c r="A118" s="2"/>
      <x:c r="B118" s="2"/>
      <x:c r="C118" s="2"/>
      <x:c r="D118" s="2"/>
      <x:c r="E118" s="2"/>
    </x:row>
    <x:row r="119" ht="23" customHeight="1">
      <x:c r="A119" s="2"/>
      <x:c r="B119" s="2"/>
      <x:c r="C119" s="2"/>
      <x:c r="D119" s="2"/>
      <x:c r="E119" s="2"/>
    </x:row>
    <x:row r="120" ht="23" customHeight="1">
      <x:c r="A120" s="2"/>
      <x:c r="B120" s="2"/>
      <x:c r="C120" s="2"/>
      <x:c r="D120" s="2"/>
      <x:c r="E120" s="2"/>
    </x:row>
    <x:row r="121" ht="23" customHeight="1">
      <x:c r="A121" s="2"/>
      <x:c r="B121" s="2"/>
      <x:c r="C121" s="2"/>
      <x:c r="D121" s="2"/>
      <x:c r="E121" s="2"/>
    </x:row>
    <x:row r="122" ht="23" customHeight="1">
      <x:c r="A122" s="2"/>
      <x:c r="B122" s="2"/>
      <x:c r="C122" s="2"/>
      <x:c r="D122" s="2"/>
      <x:c r="E122" s="2"/>
    </x:row>
    <x:row r="123" ht="23" customHeight="1">
      <x:c r="A123" s="2"/>
      <x:c r="B123" s="2"/>
      <x:c r="C123" s="2"/>
      <x:c r="D123" s="2"/>
      <x:c r="E123" s="2"/>
    </x:row>
    <x:row r="124" ht="23" customHeight="1">
      <x:c r="A124" s="2"/>
      <x:c r="B124" s="2"/>
      <x:c r="C124" s="2"/>
      <x:c r="D124" s="2"/>
      <x:c r="E124" s="2"/>
    </x:row>
    <x:row r="125" ht="23" customHeight="1">
      <x:c r="A125" s="2"/>
      <x:c r="B125" s="2"/>
      <x:c r="C125" s="2"/>
      <x:c r="D125" s="2"/>
      <x:c r="E125" s="2"/>
    </x:row>
    <x:row r="126" ht="23" customHeight="1">
      <x:c r="A126" s="2"/>
      <x:c r="B126" s="2"/>
      <x:c r="C126" s="2"/>
      <x:c r="D126" s="2"/>
      <x:c r="E126" s="2"/>
    </x:row>
    <x:row r="127" ht="23" customHeight="1">
      <x:c r="A127" s="2"/>
      <x:c r="B127" s="2"/>
      <x:c r="C127" s="2"/>
      <x:c r="D127" s="2"/>
      <x:c r="E127" s="2"/>
    </x:row>
    <x:row r="128" ht="23" customHeight="1">
      <x:c r="A128" s="2"/>
      <x:c r="B128" s="2"/>
      <x:c r="C128" s="2"/>
      <x:c r="D128" s="2"/>
      <x:c r="E128" s="2"/>
    </x:row>
    <x:row r="129" ht="23" customHeight="1">
      <x:c r="A129" s="2"/>
      <x:c r="B129" s="2"/>
      <x:c r="C129" s="2"/>
      <x:c r="D129" s="2"/>
      <x:c r="E129" s="2"/>
    </x:row>
    <x:row r="130" ht="23" customHeight="1">
      <x:c r="A130" s="2"/>
      <x:c r="B130" s="2"/>
      <x:c r="C130" s="2"/>
      <x:c r="D130" s="2"/>
      <x:c r="E130" s="2"/>
    </x:row>
    <x:row r="131" ht="23" customHeight="1">
      <x:c r="A131" s="2"/>
      <x:c r="B131" s="2"/>
      <x:c r="C131" s="2"/>
      <x:c r="D131" s="2"/>
      <x:c r="E131" s="2"/>
    </x:row>
    <x:row r="132" ht="23" customHeight="1">
      <x:c r="A132" s="2"/>
      <x:c r="B132" s="2"/>
      <x:c r="C132" s="2"/>
      <x:c r="D132" s="2"/>
      <x:c r="E132" s="2"/>
    </x:row>
    <x:row r="133" ht="23" customHeight="1">
      <x:c r="A133" s="2"/>
      <x:c r="B133" s="2"/>
      <x:c r="C133" s="2"/>
      <x:c r="D133" s="2"/>
      <x:c r="E133" s="2"/>
    </x:row>
    <x:row r="134" ht="23" customHeight="1">
      <x:c r="A134" s="2"/>
      <x:c r="B134" s="2"/>
      <x:c r="C134" s="2"/>
      <x:c r="D134" s="2"/>
      <x:c r="E134" s="2"/>
    </x:row>
    <x:row r="135" ht="23" customHeight="1">
      <x:c r="A135" s="2"/>
      <x:c r="B135" s="2"/>
      <x:c r="C135" s="2"/>
      <x:c r="D135" s="2"/>
      <x:c r="E135" s="2"/>
    </x:row>
    <x:row r="136" ht="23" customHeight="1">
      <x:c r="A136" s="2"/>
      <x:c r="B136" s="2"/>
      <x:c r="C136" s="2"/>
      <x:c r="D136" s="2"/>
      <x:c r="E136" s="2"/>
    </x:row>
    <x:row r="137" ht="23" customHeight="1">
      <x:c r="A137" s="2"/>
      <x:c r="B137" s="2"/>
      <x:c r="C137" s="2"/>
      <x:c r="D137" s="2"/>
      <x:c r="E137" s="2"/>
    </x:row>
    <x:row r="138" ht="23" customHeight="1">
      <x:c r="A138" s="2"/>
      <x:c r="B138" s="2"/>
      <x:c r="C138" s="2"/>
      <x:c r="D138" s="2"/>
      <x:c r="E138" s="2"/>
    </x:row>
    <x:row r="139" ht="23" customHeight="1">
      <x:c r="A139" s="2"/>
      <x:c r="B139" s="2"/>
      <x:c r="C139" s="2"/>
      <x:c r="D139" s="2"/>
      <x:c r="E139" s="2"/>
    </x:row>
    <x:row r="140" ht="23" customHeight="1">
      <x:c r="A140" s="2"/>
      <x:c r="B140" s="2"/>
      <x:c r="C140" s="2"/>
      <x:c r="D140" s="2"/>
      <x:c r="E140" s="2"/>
    </x:row>
    <x:row r="141" ht="23" customHeight="1">
      <x:c r="A141" s="2"/>
      <x:c r="B141" s="2"/>
      <x:c r="C141" s="2"/>
      <x:c r="D141" s="2"/>
      <x:c r="E141" s="2"/>
    </x:row>
    <x:row r="142" ht="23" customHeight="1">
      <x:c r="A142" s="2"/>
      <x:c r="B142" s="2"/>
      <x:c r="C142" s="2"/>
      <x:c r="D142" s="2"/>
      <x:c r="E142" s="2"/>
    </x:row>
    <x:row r="143" ht="23" customHeight="1">
      <x:c r="A143" s="2"/>
      <x:c r="B143" s="2"/>
      <x:c r="C143" s="2"/>
      <x:c r="D143" s="2"/>
      <x:c r="E143" s="2"/>
    </x:row>
    <x:row r="144" ht="23" customHeight="1">
      <x:c r="A144" s="2"/>
      <x:c r="B144" s="2"/>
      <x:c r="C144" s="2"/>
      <x:c r="D144" s="2"/>
      <x:c r="E144" s="2"/>
    </x:row>
    <x:row r="145" ht="23" customHeight="1">
      <x:c r="A145" s="2"/>
      <x:c r="B145" s="2"/>
      <x:c r="C145" s="2"/>
      <x:c r="D145" s="2"/>
      <x:c r="E145" s="2"/>
    </x:row>
    <x:row r="146" ht="23" customHeight="1">
      <x:c r="A146" s="2"/>
      <x:c r="B146" s="2"/>
      <x:c r="C146" s="2"/>
      <x:c r="D146" s="2"/>
      <x:c r="E146" s="2"/>
    </x:row>
    <x:row r="147" ht="23" customHeight="1">
      <x:c r="A147" s="2"/>
      <x:c r="B147" s="2"/>
      <x:c r="C147" s="2"/>
      <x:c r="D147" s="2"/>
      <x:c r="E147" s="2"/>
    </x:row>
    <x:row r="148" ht="23" customHeight="1">
      <x:c r="A148" s="2"/>
      <x:c r="B148" s="2"/>
      <x:c r="C148" s="2"/>
      <x:c r="D148" s="2"/>
      <x:c r="E148" s="2"/>
    </x:row>
    <x:row r="149" ht="23" customHeight="1">
      <x:c r="A149" s="2"/>
      <x:c r="B149" s="2"/>
      <x:c r="C149" s="2"/>
      <x:c r="D149" s="2"/>
      <x:c r="E149" s="2"/>
    </x:row>
    <x:row r="150" ht="23" customHeight="1">
      <x:c r="A150" s="2"/>
      <x:c r="B150" s="2"/>
      <x:c r="C150" s="2"/>
      <x:c r="D150" s="2"/>
      <x:c r="E150" s="2"/>
    </x:row>
    <x:row r="151" ht="23" customHeight="1">
      <x:c r="A151" s="2"/>
      <x:c r="B151" s="2"/>
      <x:c r="C151" s="2"/>
      <x:c r="D151" s="2"/>
      <x:c r="E151" s="2"/>
    </x:row>
    <x:row r="152" ht="23" customHeight="1">
      <x:c r="A152" s="2"/>
      <x:c r="B152" s="2"/>
      <x:c r="C152" s="2"/>
      <x:c r="D152" s="2"/>
      <x:c r="E152" s="2"/>
    </x:row>
    <x:row r="153" ht="23" customHeight="1">
      <x:c r="A153" s="2"/>
      <x:c r="B153" s="2"/>
      <x:c r="C153" s="2"/>
      <x:c r="D153" s="2"/>
      <x:c r="E153" s="2"/>
    </x:row>
    <x:row r="154" ht="23" customHeight="1">
      <x:c r="A154" s="2"/>
      <x:c r="B154" s="2"/>
      <x:c r="C154" s="2"/>
      <x:c r="D154" s="2"/>
      <x:c r="E154" s="2"/>
    </x:row>
    <x:row r="155" ht="23" customHeight="1">
      <x:c r="A155" s="2"/>
      <x:c r="B155" s="2"/>
      <x:c r="C155" s="2"/>
      <x:c r="D155" s="2"/>
      <x:c r="E155" s="2"/>
    </x:row>
    <x:row r="156" ht="23" customHeight="1">
      <x:c r="A156" s="2"/>
      <x:c r="B156" s="2"/>
      <x:c r="C156" s="2"/>
      <x:c r="D156" s="2"/>
      <x:c r="E156" s="2"/>
    </x:row>
    <x:row r="157" ht="23" customHeight="1">
      <x:c r="A157" s="2"/>
      <x:c r="B157" s="2"/>
      <x:c r="C157" s="2"/>
      <x:c r="D157" s="2"/>
      <x:c r="E157" s="2"/>
    </x:row>
    <x:row r="158" ht="23" customHeight="1">
      <x:c r="A158" s="2"/>
      <x:c r="B158" s="2"/>
      <x:c r="C158" s="2"/>
      <x:c r="D158" s="2"/>
      <x:c r="E158" s="2"/>
    </x:row>
    <x:row r="159" ht="23" customHeight="1">
      <x:c r="A159" s="2"/>
      <x:c r="B159" s="2"/>
      <x:c r="C159" s="2"/>
      <x:c r="D159" s="2"/>
      <x:c r="E159" s="2"/>
    </x:row>
    <x:row r="160" ht="23" customHeight="1">
      <x:c r="A160" s="2"/>
      <x:c r="B160" s="2"/>
      <x:c r="C160" s="2"/>
      <x:c r="D160" s="2"/>
      <x:c r="E160" s="2"/>
    </x:row>
    <x:row r="161" ht="23" customHeight="1">
      <x:c r="A161" s="2"/>
      <x:c r="B161" s="2"/>
      <x:c r="C161" s="2"/>
      <x:c r="D161" s="2"/>
      <x:c r="E161" s="2"/>
    </x:row>
    <x:row r="162" ht="23" customHeight="1">
      <x:c r="A162" s="2"/>
      <x:c r="B162" s="2"/>
      <x:c r="C162" s="2"/>
      <x:c r="D162" s="2"/>
      <x:c r="E162" s="2"/>
    </x:row>
    <x:row r="163" ht="23" customHeight="1">
      <x:c r="A163" s="2"/>
      <x:c r="B163" s="2"/>
      <x:c r="C163" s="2"/>
      <x:c r="D163" s="2"/>
      <x:c r="E163" s="2"/>
    </x:row>
    <x:row r="164" ht="23" customHeight="1">
      <x:c r="A164" s="2"/>
      <x:c r="B164" s="2"/>
      <x:c r="C164" s="2"/>
      <x:c r="D164" s="2"/>
      <x:c r="E164" s="2"/>
    </x:row>
    <x:row r="165" ht="23" customHeight="1">
      <x:c r="A165" s="2"/>
      <x:c r="B165" s="2"/>
      <x:c r="C165" s="2"/>
      <x:c r="D165" s="2"/>
      <x:c r="E165" s="2"/>
    </x:row>
    <x:row r="166" ht="23" customHeight="1">
      <x:c r="A166" s="2"/>
      <x:c r="B166" s="2"/>
      <x:c r="C166" s="2"/>
      <x:c r="D166" s="2"/>
      <x:c r="E166" s="2"/>
    </x:row>
    <x:row r="167" ht="23" customHeight="1">
      <x:c r="A167" s="2"/>
      <x:c r="B167" s="2"/>
      <x:c r="C167" s="2"/>
      <x:c r="D167" s="2"/>
      <x:c r="E167" s="2"/>
    </x:row>
    <x:row r="168" ht="23" customHeight="1">
      <x:c r="A168" s="2"/>
      <x:c r="B168" s="2"/>
      <x:c r="C168" s="2"/>
      <x:c r="D168" s="2"/>
      <x:c r="E168" s="2"/>
    </x:row>
    <x:row r="169" ht="23" customHeight="1">
      <x:c r="A169" s="2"/>
      <x:c r="B169" s="2"/>
      <x:c r="C169" s="2"/>
      <x:c r="D169" s="2"/>
      <x:c r="E169" s="2"/>
    </x:row>
    <x:row r="170" ht="23" customHeight="1">
      <x:c r="A170" s="2"/>
      <x:c r="B170" s="2"/>
      <x:c r="C170" s="2"/>
      <x:c r="D170" s="2"/>
      <x:c r="E170" s="2"/>
    </x:row>
    <x:row r="171" ht="23" customHeight="1">
      <x:c r="A171" s="2"/>
      <x:c r="B171" s="2"/>
      <x:c r="C171" s="2"/>
      <x:c r="D171" s="2"/>
      <x:c r="E171" s="2"/>
    </x:row>
    <x:row r="172" ht="23" customHeight="1">
      <x:c r="A172" s="2"/>
      <x:c r="B172" s="2"/>
      <x:c r="C172" s="2"/>
      <x:c r="D172" s="2"/>
      <x:c r="E172" s="2"/>
    </x:row>
    <x:row r="173" ht="23" customHeight="1">
      <x:c r="A173" s="2"/>
      <x:c r="B173" s="2"/>
      <x:c r="C173" s="2"/>
      <x:c r="D173" s="2"/>
      <x:c r="E173" s="2"/>
    </x:row>
    <x:row r="174" ht="23" customHeight="1">
      <x:c r="A174" s="2"/>
      <x:c r="B174" s="2"/>
      <x:c r="C174" s="2"/>
      <x:c r="D174" s="2"/>
      <x:c r="E174" s="2"/>
    </x:row>
    <x:row r="175" ht="23" customHeight="1">
      <x:c r="A175" s="2"/>
      <x:c r="B175" s="2"/>
      <x:c r="C175" s="2"/>
      <x:c r="D175" s="2"/>
      <x:c r="E175" s="2"/>
    </x:row>
    <x:row r="176" ht="23" customHeight="1">
      <x:c r="A176" s="2"/>
      <x:c r="B176" s="2"/>
      <x:c r="C176" s="2"/>
      <x:c r="D176" s="2"/>
      <x:c r="E176" s="2"/>
    </x:row>
    <x:row r="177" ht="23" customHeight="1">
      <x:c r="A177" s="2"/>
      <x:c r="B177" s="2"/>
      <x:c r="C177" s="2"/>
      <x:c r="D177" s="2"/>
      <x:c r="E177" s="2"/>
    </x:row>
    <x:row r="178" ht="23" customHeight="1">
      <x:c r="A178" s="2"/>
      <x:c r="B178" s="2"/>
      <x:c r="C178" s="2"/>
      <x:c r="D178" s="2"/>
      <x:c r="E178" s="2"/>
    </x:row>
    <x:row r="179" ht="23" customHeight="1">
      <x:c r="A179" s="2"/>
      <x:c r="B179" s="2"/>
      <x:c r="C179" s="2"/>
      <x:c r="D179" s="2"/>
      <x:c r="E179" s="2"/>
    </x:row>
    <x:row r="180" ht="23" customHeight="1">
      <x:c r="A180" s="2"/>
      <x:c r="B180" s="2"/>
      <x:c r="C180" s="2"/>
      <x:c r="D180" s="2"/>
      <x:c r="E180" s="2"/>
    </x:row>
    <x:row r="181" ht="23" customHeight="1">
      <x:c r="A181" s="2"/>
      <x:c r="B181" s="2"/>
      <x:c r="C181" s="2"/>
      <x:c r="D181" s="2"/>
      <x:c r="E181" s="2"/>
    </x:row>
    <x:row r="182" ht="23" customHeight="1">
      <x:c r="A182" s="2"/>
      <x:c r="B182" s="2"/>
      <x:c r="C182" s="2"/>
      <x:c r="D182" s="2"/>
      <x:c r="E182" s="2"/>
    </x:row>
    <x:row r="183" ht="23" customHeight="1">
      <x:c r="A183" s="2"/>
      <x:c r="B183" s="2"/>
      <x:c r="C183" s="2"/>
      <x:c r="D183" s="2"/>
      <x:c r="E183" s="2"/>
    </x:row>
    <x:row r="184" ht="23" customHeight="1">
      <x:c r="A184" s="2"/>
      <x:c r="B184" s="2"/>
      <x:c r="C184" s="2"/>
      <x:c r="D184" s="2"/>
      <x:c r="E184" s="2"/>
    </x:row>
    <x:row r="185" ht="23" customHeight="1">
      <x:c r="A185" s="2"/>
      <x:c r="B185" s="2"/>
      <x:c r="C185" s="2"/>
      <x:c r="D185" s="2"/>
      <x:c r="E185" s="2"/>
    </x:row>
    <x:row r="186" ht="23" customHeight="1">
      <x:c r="A186" s="2"/>
      <x:c r="B186" s="2"/>
      <x:c r="C186" s="2"/>
      <x:c r="D186" s="2"/>
      <x:c r="E186" s="2"/>
    </x:row>
    <x:row r="187" ht="23" customHeight="1">
      <x:c r="A187" s="2"/>
      <x:c r="B187" s="2"/>
      <x:c r="C187" s="2"/>
      <x:c r="D187" s="2"/>
      <x:c r="E187" s="2"/>
    </x:row>
    <x:row r="188" ht="23" customHeight="1">
      <x:c r="A188" s="2"/>
      <x:c r="B188" s="2"/>
      <x:c r="C188" s="2"/>
      <x:c r="D188" s="2"/>
      <x:c r="E188" s="2"/>
    </x:row>
    <x:row r="189" ht="23" customHeight="1">
      <x:c r="A189" s="2"/>
      <x:c r="B189" s="2"/>
      <x:c r="C189" s="2"/>
      <x:c r="D189" s="2"/>
      <x:c r="E189" s="2"/>
    </x:row>
    <x:row r="190" ht="23" customHeight="1">
      <x:c r="A190" s="2"/>
      <x:c r="B190" s="2"/>
      <x:c r="C190" s="2"/>
      <x:c r="D190" s="2"/>
      <x:c r="E190" s="2"/>
    </x:row>
    <x:row r="191" ht="23" customHeight="1">
      <x:c r="A191" s="2"/>
      <x:c r="B191" s="2"/>
      <x:c r="C191" s="2"/>
      <x:c r="D191" s="2"/>
      <x:c r="E191" s="2"/>
    </x:row>
    <x:row r="192" ht="23" customHeight="1">
      <x:c r="A192" s="2"/>
      <x:c r="B192" s="2"/>
      <x:c r="C192" s="2"/>
      <x:c r="D192" s="2"/>
      <x:c r="E192" s="2"/>
    </x:row>
    <x:row r="193" ht="23" customHeight="1">
      <x:c r="A193" s="2"/>
      <x:c r="B193" s="2"/>
      <x:c r="C193" s="2"/>
      <x:c r="D193" s="2"/>
      <x:c r="E193" s="2"/>
    </x:row>
    <x:row r="194" ht="23" customHeight="1">
      <x:c r="A194" s="2"/>
      <x:c r="B194" s="2"/>
      <x:c r="C194" s="2"/>
      <x:c r="D194" s="2"/>
      <x:c r="E194" s="2"/>
    </x:row>
    <x:row r="195" ht="23" customHeight="1">
      <x:c r="A195" s="2"/>
      <x:c r="B195" s="2"/>
      <x:c r="C195" s="2"/>
      <x:c r="D195" s="2"/>
      <x:c r="E195" s="2"/>
    </x:row>
    <x:row r="196" ht="23" customHeight="1">
      <x:c r="A196" s="2"/>
      <x:c r="B196" s="2"/>
      <x:c r="C196" s="2"/>
      <x:c r="D196" s="2"/>
      <x:c r="E196" s="2"/>
    </x:row>
    <x:row r="197" ht="23" customHeight="1">
      <x:c r="A197" s="2"/>
      <x:c r="B197" s="2"/>
      <x:c r="C197" s="2"/>
      <x:c r="D197" s="2"/>
      <x:c r="E197" s="2"/>
    </x:row>
    <x:row r="198" ht="23" customHeight="1">
      <x:c r="A198" s="2"/>
      <x:c r="B198" s="2"/>
      <x:c r="C198" s="2"/>
      <x:c r="D198" s="2"/>
      <x:c r="E198" s="2"/>
    </x:row>
    <x:row r="199" ht="23" customHeight="1">
      <x:c r="A199" s="2"/>
      <x:c r="B199" s="2"/>
      <x:c r="C199" s="2"/>
      <x:c r="D199" s="2"/>
      <x:c r="E199" s="2"/>
    </x:row>
    <x:row r="200" ht="23" customHeight="1">
      <x:c r="A200" s="2"/>
      <x:c r="B200" s="2"/>
      <x:c r="C200" s="2"/>
      <x:c r="D200" s="2"/>
      <x:c r="E200" s="2"/>
    </x:row>
    <x:row r="201" ht="23" customHeight="1">
      <x:c r="A201" s="2"/>
      <x:c r="B201" s="2"/>
      <x:c r="C201" s="2"/>
      <x:c r="D201" s="2"/>
      <x:c r="E201" s="2"/>
    </x:row>
    <x:row r="202" ht="23" customHeight="1">
      <x:c r="A202" s="2"/>
      <x:c r="B202" s="2"/>
      <x:c r="C202" s="2"/>
      <x:c r="D202" s="2"/>
      <x:c r="E202" s="2"/>
    </x:row>
    <x:row r="203" ht="23" customHeight="1">
      <x:c r="A203" s="2"/>
      <x:c r="B203" s="2"/>
      <x:c r="C203" s="2"/>
      <x:c r="D203" s="2"/>
      <x:c r="E203" s="2"/>
    </x:row>
    <x:row r="204" ht="23" customHeight="1">
      <x:c r="A204" s="2"/>
      <x:c r="B204" s="2"/>
      <x:c r="C204" s="2"/>
      <x:c r="D204" s="2"/>
      <x:c r="E204" s="2"/>
    </x:row>
    <x:row r="205" ht="23" customHeight="1">
      <x:c r="A205" s="2"/>
      <x:c r="B205" s="2"/>
      <x:c r="C205" s="2"/>
      <x:c r="D205" s="2"/>
      <x:c r="E205" s="2"/>
    </x:row>
    <x:row r="206" ht="23" customHeight="1">
      <x:c r="A206" s="2"/>
      <x:c r="B206" s="2"/>
      <x:c r="C206" s="2"/>
      <x:c r="D206" s="2"/>
      <x:c r="E206" s="2"/>
    </x:row>
    <x:row r="207" ht="23" customHeight="1">
      <x:c r="A207" s="2"/>
      <x:c r="B207" s="2"/>
      <x:c r="C207" s="2"/>
      <x:c r="D207" s="2"/>
      <x:c r="E207" s="2"/>
    </x:row>
    <x:row r="208" ht="23" customHeight="1">
      <x:c r="A208" s="2"/>
      <x:c r="B208" s="2"/>
      <x:c r="C208" s="2"/>
      <x:c r="D208" s="2"/>
      <x:c r="E208" s="2"/>
    </x:row>
    <x:row r="209" ht="23" customHeight="1">
      <x:c r="A209" s="2"/>
      <x:c r="B209" s="2"/>
      <x:c r="C209" s="2"/>
      <x:c r="D209" s="2"/>
      <x:c r="E209" s="2"/>
    </x:row>
    <x:row r="210" ht="23" customHeight="1">
      <x:c r="A210" s="2"/>
      <x:c r="B210" s="2"/>
      <x:c r="C210" s="2"/>
      <x:c r="D210" s="2"/>
      <x:c r="E210" s="2"/>
    </x:row>
    <x:row r="211" ht="23" customHeight="1">
      <x:c r="A211" s="2"/>
      <x:c r="B211" s="2"/>
      <x:c r="C211" s="2"/>
      <x:c r="D211" s="2"/>
      <x:c r="E211" s="2"/>
    </x:row>
    <x:row r="212" ht="23" customHeight="1">
      <x:c r="A212" s="2"/>
      <x:c r="B212" s="2"/>
      <x:c r="C212" s="2"/>
      <x:c r="D212" s="2"/>
      <x:c r="E212" s="2"/>
    </x:row>
    <x:row r="213" ht="23" customHeight="1">
      <x:c r="A213" s="2"/>
      <x:c r="B213" s="2"/>
      <x:c r="C213" s="2"/>
      <x:c r="D213" s="2"/>
      <x:c r="E213" s="2"/>
    </x:row>
    <x:row r="214" ht="23" customHeight="1">
      <x:c r="A214" s="2"/>
      <x:c r="B214" s="2"/>
      <x:c r="C214" s="2"/>
      <x:c r="D214" s="2"/>
      <x:c r="E214" s="2"/>
    </x:row>
    <x:row r="215" ht="23" customHeight="1">
      <x:c r="A215" s="2"/>
      <x:c r="B215" s="2"/>
      <x:c r="C215" s="2"/>
      <x:c r="D215" s="2"/>
      <x:c r="E215" s="2"/>
    </x:row>
    <x:row r="216" ht="23" customHeight="1">
      <x:c r="A216" s="2"/>
      <x:c r="B216" s="2"/>
      <x:c r="C216" s="2"/>
      <x:c r="D216" s="2"/>
      <x:c r="E216" s="2"/>
    </x:row>
    <x:row r="217" ht="23" customHeight="1">
      <x:c r="A217" s="2"/>
      <x:c r="B217" s="2"/>
      <x:c r="C217" s="2"/>
      <x:c r="D217" s="2"/>
      <x:c r="E217" s="2"/>
    </x:row>
    <x:row r="218" ht="23" customHeight="1">
      <x:c r="A218" s="2"/>
      <x:c r="B218" s="2"/>
      <x:c r="C218" s="2"/>
      <x:c r="D218" s="2"/>
      <x:c r="E218" s="2"/>
    </x:row>
    <x:row r="219" ht="23" customHeight="1">
      <x:c r="A219" s="2"/>
      <x:c r="B219" s="2"/>
      <x:c r="C219" s="2"/>
      <x:c r="D219" s="2"/>
      <x:c r="E219" s="2"/>
    </x:row>
    <x:row r="220" ht="23" customHeight="1">
      <x:c r="A220" s="2"/>
      <x:c r="B220" s="2"/>
      <x:c r="C220" s="2"/>
      <x:c r="D220" s="2"/>
      <x:c r="E220" s="2"/>
    </x:row>
    <x:row r="221" ht="23" customHeight="1">
      <x:c r="A221" s="2"/>
      <x:c r="B221" s="2"/>
      <x:c r="C221" s="2"/>
      <x:c r="D221" s="2"/>
      <x:c r="E221" s="2"/>
    </x:row>
    <x:row r="222" ht="23" customHeight="1">
      <x:c r="A222" s="2"/>
      <x:c r="B222" s="2"/>
      <x:c r="C222" s="2"/>
      <x:c r="D222" s="2"/>
      <x:c r="E222" s="2"/>
    </x:row>
    <x:row r="223" ht="23" customHeight="1">
      <x:c r="A223" s="2"/>
      <x:c r="B223" s="2"/>
      <x:c r="C223" s="2"/>
      <x:c r="D223" s="2"/>
      <x:c r="E223" s="2"/>
    </x:row>
    <x:row r="224" ht="23" customHeight="1">
      <x:c r="A224" s="2"/>
      <x:c r="B224" s="2"/>
      <x:c r="C224" s="2"/>
      <x:c r="D224" s="2"/>
      <x:c r="E224" s="2"/>
    </x:row>
    <x:row r="225" ht="23" customHeight="1">
      <x:c r="A225" s="2"/>
      <x:c r="B225" s="2"/>
      <x:c r="C225" s="2"/>
      <x:c r="D225" s="2"/>
      <x:c r="E225" s="2"/>
    </x:row>
    <x:row r="226" ht="23" customHeight="1">
      <x:c r="A226" s="2"/>
      <x:c r="B226" s="2"/>
      <x:c r="C226" s="2"/>
      <x:c r="D226" s="2"/>
      <x:c r="E226" s="2"/>
    </x:row>
    <x:row r="227" ht="23" customHeight="1">
      <x:c r="A227" s="2"/>
      <x:c r="B227" s="2"/>
      <x:c r="C227" s="2"/>
      <x:c r="D227" s="2"/>
      <x:c r="E227" s="2"/>
    </x:row>
    <x:row r="228" ht="23" customHeight="1">
      <x:c r="A228" s="2"/>
      <x:c r="B228" s="2"/>
      <x:c r="C228" s="2"/>
      <x:c r="D228" s="2"/>
      <x:c r="E228" s="2"/>
    </x:row>
    <x:row r="229" ht="23" customHeight="1">
      <x:c r="A229" s="2"/>
      <x:c r="B229" s="2"/>
      <x:c r="C229" s="2"/>
      <x:c r="D229" s="2"/>
      <x:c r="E229" s="2"/>
    </x:row>
    <x:row r="230" ht="23" customHeight="1">
      <x:c r="A230" s="2"/>
      <x:c r="B230" s="2"/>
      <x:c r="C230" s="2"/>
      <x:c r="D230" s="2"/>
      <x:c r="E230" s="2"/>
    </x:row>
    <x:row r="231" ht="23" customHeight="1">
      <x:c r="A231" s="2"/>
      <x:c r="B231" s="2"/>
      <x:c r="C231" s="2"/>
      <x:c r="D231" s="2"/>
      <x:c r="E231" s="2"/>
    </x:row>
    <x:row r="232" ht="23" customHeight="1">
      <x:c r="A232" s="2"/>
      <x:c r="B232" s="2"/>
      <x:c r="C232" s="2"/>
      <x:c r="D232" s="2"/>
      <x:c r="E232" s="2"/>
    </x:row>
    <x:row r="233" ht="23" customHeight="1">
      <x:c r="A233" s="2"/>
      <x:c r="B233" s="2"/>
      <x:c r="C233" s="2"/>
      <x:c r="D233" s="2"/>
      <x:c r="E233" s="2"/>
    </x:row>
    <x:row r="234" ht="23" customHeight="1">
      <x:c r="A234" s="2"/>
      <x:c r="B234" s="2"/>
      <x:c r="C234" s="2"/>
      <x:c r="D234" s="2"/>
      <x:c r="E234" s="2"/>
    </x:row>
    <x:row r="235" ht="23" customHeight="1">
      <x:c r="A235" s="2"/>
      <x:c r="B235" s="2"/>
      <x:c r="C235" s="2"/>
      <x:c r="D235" s="2"/>
      <x:c r="E235" s="2"/>
    </x:row>
    <x:row r="236" ht="23" customHeight="1">
      <x:c r="A236" s="2"/>
      <x:c r="B236" s="2"/>
      <x:c r="C236" s="2"/>
      <x:c r="D236" s="2"/>
      <x:c r="E236" s="2"/>
    </x:row>
    <x:row r="237" ht="23" customHeight="1">
      <x:c r="A237" s="2"/>
      <x:c r="B237" s="2"/>
      <x:c r="C237" s="2"/>
      <x:c r="D237" s="2"/>
      <x:c r="E237" s="2"/>
    </x:row>
    <x:row r="238" ht="23" customHeight="1">
      <x:c r="A238" s="2"/>
      <x:c r="B238" s="2"/>
      <x:c r="C238" s="2"/>
      <x:c r="D238" s="2"/>
      <x:c r="E238" s="2"/>
    </x:row>
    <x:row r="239" ht="23" customHeight="1">
      <x:c r="A239" s="2"/>
      <x:c r="B239" s="2"/>
      <x:c r="C239" s="2"/>
      <x:c r="D239" s="2"/>
      <x:c r="E239" s="2"/>
    </x:row>
    <x:row r="240" ht="23" customHeight="1">
      <x:c r="A240" s="2"/>
      <x:c r="B240" s="2"/>
      <x:c r="C240" s="2"/>
      <x:c r="D240" s="2"/>
      <x:c r="E240" s="2"/>
    </x:row>
    <x:row r="241" ht="23" customHeight="1">
      <x:c r="A241" s="2"/>
      <x:c r="B241" s="2"/>
      <x:c r="C241" s="2"/>
      <x:c r="D241" s="2"/>
      <x:c r="E241" s="2"/>
    </x:row>
    <x:row r="242" ht="23" customHeight="1">
      <x:c r="A242" s="2"/>
      <x:c r="B242" s="2"/>
      <x:c r="C242" s="2"/>
      <x:c r="D242" s="2"/>
      <x:c r="E242" s="2"/>
    </x:row>
    <x:row r="243" ht="23" customHeight="1">
      <x:c r="A243" s="2"/>
      <x:c r="B243" s="2"/>
      <x:c r="C243" s="2"/>
      <x:c r="D243" s="2"/>
      <x:c r="E243" s="2"/>
    </x:row>
    <x:row r="244" ht="23" customHeight="1">
      <x:c r="A244" s="2"/>
      <x:c r="B244" s="2"/>
      <x:c r="C244" s="2"/>
      <x:c r="D244" s="2"/>
      <x:c r="E244" s="2"/>
    </x:row>
    <x:row r="245" ht="23" customHeight="1">
      <x:c r="A245" s="2"/>
      <x:c r="B245" s="2"/>
      <x:c r="C245" s="2"/>
      <x:c r="D245" s="2"/>
      <x:c r="E245" s="2"/>
    </x:row>
    <x:row r="246" ht="23" customHeight="1">
      <x:c r="A246" s="2"/>
      <x:c r="B246" s="2"/>
      <x:c r="C246" s="2"/>
      <x:c r="D246" s="2"/>
      <x:c r="E246" s="2"/>
    </x:row>
    <x:row r="247" ht="23" customHeight="1">
      <x:c r="A247" s="2"/>
      <x:c r="B247" s="2"/>
      <x:c r="C247" s="2"/>
      <x:c r="D247" s="2"/>
      <x:c r="E247" s="2"/>
    </x:row>
    <x:row r="248" ht="23" customHeight="1">
      <x:c r="A248" s="2"/>
      <x:c r="B248" s="2"/>
      <x:c r="C248" s="2"/>
      <x:c r="D248" s="2"/>
      <x:c r="E248" s="2"/>
    </x:row>
    <x:row r="249" ht="23" customHeight="1">
      <x:c r="A249" s="2"/>
      <x:c r="B249" s="2"/>
      <x:c r="C249" s="2"/>
      <x:c r="D249" s="2"/>
      <x:c r="E249" s="2"/>
    </x:row>
    <x:row r="250" ht="23" customHeight="1">
      <x:c r="A250" s="2"/>
      <x:c r="B250" s="2"/>
      <x:c r="C250" s="2"/>
      <x:c r="D250" s="2"/>
      <x:c r="E250" s="2"/>
    </x:row>
    <x:row r="251" ht="23" customHeight="1">
      <x:c r="A251" s="2"/>
      <x:c r="B251" s="2"/>
      <x:c r="C251" s="2"/>
      <x:c r="D251" s="2"/>
      <x:c r="E251" s="2"/>
    </x:row>
    <x:row r="252" ht="23" customHeight="1">
      <x:c r="A252" s="2"/>
      <x:c r="B252" s="2"/>
      <x:c r="C252" s="2"/>
      <x:c r="D252" s="2"/>
      <x:c r="E252" s="2"/>
    </x:row>
    <x:row r="253" ht="23" customHeight="1">
      <x:c r="A253" s="2"/>
      <x:c r="B253" s="2"/>
      <x:c r="C253" s="2"/>
      <x:c r="D253" s="2"/>
      <x:c r="E253" s="2"/>
    </x:row>
    <x:row r="254" ht="23" customHeight="1">
      <x:c r="A254" s="2"/>
      <x:c r="B254" s="2"/>
      <x:c r="C254" s="2"/>
      <x:c r="D254" s="2"/>
      <x:c r="E254" s="2"/>
    </x:row>
    <x:row r="255" ht="23" customHeight="1">
      <x:c r="A255" s="2"/>
      <x:c r="B255" s="2"/>
      <x:c r="C255" s="2"/>
      <x:c r="D255" s="2"/>
      <x:c r="E255" s="2"/>
    </x:row>
    <x:row r="256" ht="23" customHeight="1">
      <x:c r="A256" s="2"/>
      <x:c r="B256" s="2"/>
      <x:c r="C256" s="2"/>
      <x:c r="D256" s="2"/>
      <x:c r="E256" s="2"/>
    </x:row>
    <x:row r="257" ht="23" customHeight="1">
      <x:c r="A257" s="2"/>
      <x:c r="B257" s="2"/>
      <x:c r="C257" s="2"/>
      <x:c r="D257" s="2"/>
      <x:c r="E257" s="2"/>
    </x:row>
    <x:row r="258" ht="23" customHeight="1">
      <x:c r="A258" s="2"/>
      <x:c r="B258" s="2"/>
      <x:c r="C258" s="2"/>
      <x:c r="D258" s="2"/>
      <x:c r="E258" s="2"/>
    </x:row>
    <x:row r="259" ht="23" customHeight="1">
      <x:c r="A259" s="2"/>
      <x:c r="B259" s="2"/>
      <x:c r="C259" s="2"/>
      <x:c r="D259" s="2"/>
      <x:c r="E259" s="2"/>
    </x:row>
    <x:row r="260" ht="23" customHeight="1">
      <x:c r="A260" s="2"/>
      <x:c r="B260" s="2"/>
      <x:c r="C260" s="2"/>
      <x:c r="D260" s="2"/>
      <x:c r="E260" s="2"/>
    </x:row>
    <x:row r="261" ht="23" customHeight="1">
      <x:c r="A261" s="2"/>
      <x:c r="B261" s="2"/>
      <x:c r="C261" s="2"/>
      <x:c r="D261" s="2"/>
      <x:c r="E261" s="2"/>
    </x:row>
    <x:row r="262" ht="23" customHeight="1">
      <x:c r="A262" s="2"/>
      <x:c r="B262" s="2"/>
      <x:c r="C262" s="2"/>
      <x:c r="D262" s="2"/>
      <x:c r="E262" s="2"/>
    </x:row>
    <x:row r="263" ht="23" customHeight="1">
      <x:c r="A263" s="2"/>
      <x:c r="B263" s="2"/>
      <x:c r="C263" s="2"/>
      <x:c r="D263" s="2"/>
      <x:c r="E263" s="2"/>
    </x:row>
    <x:row r="264" ht="23" customHeight="1">
      <x:c r="A264" s="2"/>
      <x:c r="B264" s="2"/>
      <x:c r="C264" s="2"/>
      <x:c r="D264" s="2"/>
      <x:c r="E264" s="2"/>
    </x:row>
    <x:row r="265" ht="23" customHeight="1">
      <x:c r="A265" s="2"/>
      <x:c r="B265" s="2"/>
      <x:c r="C265" s="2"/>
      <x:c r="D265" s="2"/>
      <x:c r="E265" s="2"/>
    </x:row>
    <x:row r="266" ht="23" customHeight="1">
      <x:c r="A266" s="2"/>
      <x:c r="B266" s="2"/>
      <x:c r="C266" s="2"/>
      <x:c r="D266" s="2"/>
      <x:c r="E266" s="2"/>
    </x:row>
    <x:row r="267" ht="23" customHeight="1">
      <x:c r="A267" s="2"/>
      <x:c r="B267" s="2"/>
      <x:c r="C267" s="2"/>
      <x:c r="D267" s="2"/>
      <x:c r="E267" s="2"/>
    </x:row>
    <x:row r="268" ht="23" customHeight="1">
      <x:c r="A268" s="2"/>
      <x:c r="B268" s="2"/>
      <x:c r="C268" s="2"/>
      <x:c r="D268" s="2"/>
      <x:c r="E268" s="2"/>
    </x:row>
    <x:row r="269" ht="23" customHeight="1">
      <x:c r="A269" s="2"/>
      <x:c r="B269" s="2"/>
      <x:c r="C269" s="2"/>
      <x:c r="D269" s="2"/>
      <x:c r="E269" s="2"/>
    </x:row>
    <x:row r="270" ht="23" customHeight="1">
      <x:c r="A270" s="2"/>
      <x:c r="B270" s="2"/>
      <x:c r="C270" s="2"/>
      <x:c r="D270" s="2"/>
      <x:c r="E270" s="2"/>
    </x:row>
    <x:row r="271" ht="23" customHeight="1">
      <x:c r="A271" s="2"/>
      <x:c r="B271" s="2"/>
      <x:c r="C271" s="2"/>
      <x:c r="D271" s="2"/>
      <x:c r="E271" s="2"/>
    </x:row>
    <x:row r="272" ht="23" customHeight="1">
      <x:c r="A272" s="2"/>
      <x:c r="B272" s="2"/>
      <x:c r="C272" s="2"/>
      <x:c r="D272" s="2"/>
      <x:c r="E272" s="2"/>
    </x:row>
    <x:row r="273" ht="23" customHeight="1">
      <x:c r="A273" s="2"/>
      <x:c r="B273" s="2"/>
      <x:c r="C273" s="2"/>
      <x:c r="D273" s="2"/>
      <x:c r="E273" s="2"/>
    </x:row>
    <x:row r="274" ht="23" customHeight="1">
      <x:c r="A274" s="2"/>
      <x:c r="B274" s="2"/>
      <x:c r="C274" s="2"/>
      <x:c r="D274" s="2"/>
      <x:c r="E274" s="2"/>
    </x:row>
    <x:row r="275" ht="23" customHeight="1">
      <x:c r="A275" s="2"/>
      <x:c r="B275" s="2"/>
      <x:c r="C275" s="2"/>
      <x:c r="D275" s="2"/>
      <x:c r="E275" s="2"/>
    </x:row>
    <x:row r="276" ht="23" customHeight="1">
      <x:c r="A276" s="2"/>
      <x:c r="B276" s="2"/>
      <x:c r="C276" s="2"/>
      <x:c r="D276" s="2"/>
      <x:c r="E276" s="2"/>
    </x:row>
    <x:row r="277" ht="23" customHeight="1">
      <x:c r="A277" s="2"/>
      <x:c r="B277" s="2"/>
      <x:c r="C277" s="2"/>
      <x:c r="D277" s="2"/>
      <x:c r="E277" s="2"/>
    </x:row>
    <x:row r="278" ht="23" customHeight="1">
      <x:c r="A278" s="2"/>
      <x:c r="B278" s="2"/>
      <x:c r="C278" s="2"/>
      <x:c r="D278" s="2"/>
      <x:c r="E278" s="2"/>
    </x:row>
    <x:row r="279" ht="23" customHeight="1">
      <x:c r="A279" s="2"/>
      <x:c r="B279" s="2"/>
      <x:c r="C279" s="2"/>
      <x:c r="D279" s="2"/>
      <x:c r="E279" s="2"/>
    </x:row>
    <x:row r="280" ht="23" customHeight="1">
      <x:c r="A280" s="2"/>
      <x:c r="B280" s="2"/>
      <x:c r="C280" s="2"/>
      <x:c r="D280" s="2"/>
      <x:c r="E280" s="2"/>
    </x:row>
    <x:row r="281" ht="23" customHeight="1">
      <x:c r="A281" s="2"/>
      <x:c r="B281" s="2"/>
      <x:c r="C281" s="2"/>
      <x:c r="D281" s="2"/>
      <x:c r="E281" s="2"/>
    </x:row>
    <x:row r="282" ht="23" customHeight="1">
      <x:c r="A282" s="2"/>
      <x:c r="B282" s="2"/>
      <x:c r="C282" s="2"/>
      <x:c r="D282" s="2"/>
      <x:c r="E282" s="2"/>
    </x:row>
    <x:row r="283" ht="23" customHeight="1">
      <x:c r="A283" s="2"/>
      <x:c r="B283" s="2"/>
      <x:c r="C283" s="2"/>
      <x:c r="D283" s="2"/>
      <x:c r="E283" s="2"/>
    </x:row>
    <x:row r="284" ht="23" customHeight="1">
      <x:c r="A284" s="2"/>
      <x:c r="B284" s="2"/>
      <x:c r="C284" s="2"/>
      <x:c r="D284" s="2"/>
      <x:c r="E284" s="2"/>
    </x:row>
    <x:row r="285" ht="23" customHeight="1">
      <x:c r="A285" s="2"/>
      <x:c r="B285" s="2"/>
      <x:c r="C285" s="2"/>
      <x:c r="D285" s="2"/>
      <x:c r="E285" s="2"/>
    </x:row>
    <x:row r="286" ht="23" customHeight="1">
      <x:c r="A286" s="2"/>
      <x:c r="B286" s="2"/>
      <x:c r="C286" s="2"/>
      <x:c r="D286" s="2"/>
      <x:c r="E286" s="2"/>
    </x:row>
    <x:row r="287" ht="23" customHeight="1">
      <x:c r="A287" s="2"/>
      <x:c r="B287" s="2"/>
      <x:c r="C287" s="2"/>
      <x:c r="D287" s="2"/>
      <x:c r="E287" s="2"/>
    </x:row>
    <x:row r="288" ht="23" customHeight="1">
      <x:c r="A288" s="2"/>
      <x:c r="B288" s="2"/>
      <x:c r="C288" s="2"/>
      <x:c r="D288" s="2"/>
      <x:c r="E288" s="2"/>
    </x:row>
    <x:row r="289" ht="23" customHeight="1">
      <x:c r="A289" s="2"/>
      <x:c r="B289" s="2"/>
      <x:c r="C289" s="2"/>
      <x:c r="D289" s="2"/>
      <x:c r="E289" s="2"/>
    </x:row>
    <x:row r="290" ht="23" customHeight="1">
      <x:c r="A290" s="2"/>
      <x:c r="B290" s="2"/>
      <x:c r="C290" s="2"/>
      <x:c r="D290" s="2"/>
      <x:c r="E290" s="2"/>
    </x:row>
    <x:row r="291" ht="23" customHeight="1">
      <x:c r="A291" s="2"/>
      <x:c r="B291" s="2"/>
      <x:c r="C291" s="2"/>
      <x:c r="D291" s="2"/>
      <x:c r="E291" s="2"/>
    </x:row>
    <x:row r="292" ht="23" customHeight="1">
      <x:c r="A292" s="2"/>
      <x:c r="B292" s="2"/>
      <x:c r="C292" s="2"/>
      <x:c r="D292" s="2"/>
      <x:c r="E292" s="2"/>
    </x:row>
    <x:row r="293" ht="23" customHeight="1">
      <x:c r="A293" s="2"/>
      <x:c r="B293" s="2"/>
      <x:c r="C293" s="2"/>
      <x:c r="D293" s="2"/>
      <x:c r="E293" s="2"/>
    </x:row>
    <x:row r="294" ht="23" customHeight="1">
      <x:c r="A294" s="2"/>
      <x:c r="B294" s="2"/>
      <x:c r="C294" s="2"/>
      <x:c r="D294" s="2"/>
      <x:c r="E294" s="2"/>
    </x:row>
    <x:row r="295" ht="23" customHeight="1">
      <x:c r="A295" s="2"/>
      <x:c r="B295" s="2"/>
      <x:c r="C295" s="2"/>
      <x:c r="D295" s="2"/>
      <x:c r="E295" s="2"/>
    </x:row>
    <x:row r="296" ht="23" customHeight="1">
      <x:c r="A296" s="2"/>
      <x:c r="B296" s="2"/>
      <x:c r="C296" s="2"/>
      <x:c r="D296" s="2"/>
      <x:c r="E296" s="2"/>
    </x:row>
    <x:row r="297" ht="23" customHeight="1">
      <x:c r="A297" s="2"/>
      <x:c r="B297" s="2"/>
      <x:c r="C297" s="2"/>
      <x:c r="D297" s="2"/>
      <x:c r="E297" s="2"/>
    </x:row>
    <x:row r="298" ht="23" customHeight="1">
      <x:c r="A298" s="2"/>
      <x:c r="B298" s="2"/>
      <x:c r="C298" s="2"/>
      <x:c r="D298" s="2"/>
      <x:c r="E298" s="2"/>
    </x:row>
    <x:row r="299" ht="23" customHeight="1">
      <x:c r="A299" s="2"/>
      <x:c r="B299" s="2"/>
      <x:c r="C299" s="2"/>
      <x:c r="D299" s="2"/>
      <x:c r="E299" s="2"/>
    </x:row>
    <x:row r="300" ht="23" customHeight="1">
      <x:c r="A300" s="2"/>
      <x:c r="B300" s="2"/>
      <x:c r="C300" s="2"/>
      <x:c r="D300" s="2"/>
      <x:c r="E300" s="2"/>
    </x:row>
    <x:row r="301" ht="23" customHeight="1">
      <x:c r="A301" s="2"/>
      <x:c r="B301" s="2"/>
      <x:c r="C301" s="2"/>
      <x:c r="D301" s="2"/>
      <x:c r="E301" s="2"/>
    </x:row>
    <x:row r="302" ht="23" customHeight="1">
      <x:c r="A302" s="2"/>
      <x:c r="B302" s="2"/>
      <x:c r="C302" s="2"/>
      <x:c r="D302" s="2"/>
      <x:c r="E302" s="2"/>
    </x:row>
    <x:row r="303" ht="23" customHeight="1">
      <x:c r="A303" s="2"/>
      <x:c r="B303" s="2"/>
      <x:c r="C303" s="2"/>
      <x:c r="D303" s="2"/>
      <x:c r="E303" s="2"/>
    </x:row>
    <x:row r="304" ht="23" customHeight="1">
      <x:c r="A304" s="2"/>
      <x:c r="B304" s="2"/>
      <x:c r="C304" s="2"/>
      <x:c r="D304" s="2"/>
      <x:c r="E304" s="2"/>
    </x:row>
    <x:row r="305" ht="23" customHeight="1">
      <x:c r="A305" s="2"/>
      <x:c r="B305" s="2"/>
      <x:c r="C305" s="2"/>
      <x:c r="D305" s="2"/>
      <x:c r="E305" s="2"/>
    </x:row>
    <x:row r="306" ht="23" customHeight="1">
      <x:c r="A306" s="2"/>
      <x:c r="B306" s="2"/>
      <x:c r="C306" s="2"/>
      <x:c r="D306" s="2"/>
      <x:c r="E306" s="2"/>
    </x:row>
    <x:row r="307" ht="23" customHeight="1">
      <x:c r="A307" s="2"/>
      <x:c r="B307" s="2"/>
      <x:c r="C307" s="2"/>
      <x:c r="D307" s="2"/>
      <x:c r="E307" s="2"/>
    </x:row>
    <x:row r="308" ht="23" customHeight="1">
      <x:c r="A308" s="2"/>
      <x:c r="B308" s="2"/>
      <x:c r="C308" s="2"/>
      <x:c r="D308" s="2"/>
      <x:c r="E308" s="2"/>
    </x:row>
    <x:row r="309" ht="23" customHeight="1">
      <x:c r="A309" s="2"/>
      <x:c r="B309" s="2"/>
      <x:c r="C309" s="2"/>
      <x:c r="D309" s="2"/>
      <x:c r="E309" s="2"/>
    </x:row>
    <x:row r="310" ht="23" customHeight="1">
      <x:c r="A310" s="2"/>
      <x:c r="B310" s="2"/>
      <x:c r="C310" s="2"/>
      <x:c r="D310" s="2"/>
      <x:c r="E310" s="2"/>
    </x:row>
    <x:row r="311" ht="23" customHeight="1">
      <x:c r="A311" s="2"/>
      <x:c r="B311" s="2"/>
      <x:c r="C311" s="2"/>
      <x:c r="D311" s="2"/>
      <x:c r="E311" s="2"/>
    </x:row>
    <x:row r="312" ht="23" customHeight="1">
      <x:c r="A312" s="2"/>
      <x:c r="B312" s="2"/>
      <x:c r="C312" s="2"/>
      <x:c r="D312" s="2"/>
      <x:c r="E312" s="2"/>
    </x:row>
    <x:row r="313" ht="23" customHeight="1">
      <x:c r="A313" s="2"/>
      <x:c r="B313" s="2"/>
      <x:c r="C313" s="2"/>
      <x:c r="D313" s="2"/>
      <x:c r="E313" s="2"/>
    </x:row>
    <x:row r="314" ht="23" customHeight="1">
      <x:c r="A314" s="2"/>
      <x:c r="B314" s="2"/>
      <x:c r="C314" s="2"/>
      <x:c r="D314" s="2"/>
      <x:c r="E314" s="2"/>
    </x:row>
    <x:row r="315" ht="23" customHeight="1">
      <x:c r="A315" s="2"/>
      <x:c r="B315" s="2"/>
      <x:c r="C315" s="2"/>
      <x:c r="D315" s="2"/>
      <x:c r="E315" s="2"/>
    </x:row>
    <x:row r="316" ht="23" customHeight="1">
      <x:c r="A316" s="2"/>
      <x:c r="B316" s="2"/>
      <x:c r="C316" s="2"/>
      <x:c r="D316" s="2"/>
      <x:c r="E316" s="2"/>
    </x:row>
    <x:row r="317" ht="23" customHeight="1">
      <x:c r="A317" s="2"/>
      <x:c r="B317" s="2"/>
      <x:c r="C317" s="2"/>
      <x:c r="D317" s="2"/>
      <x:c r="E317" s="2"/>
    </x:row>
    <x:row r="318" ht="23" customHeight="1">
      <x:c r="A318" s="2"/>
      <x:c r="B318" s="2"/>
      <x:c r="C318" s="2"/>
      <x:c r="D318" s="2"/>
      <x:c r="E318" s="2"/>
    </x:row>
    <x:row r="319" ht="23" customHeight="1">
      <x:c r="A319" s="2"/>
      <x:c r="B319" s="2"/>
      <x:c r="C319" s="2"/>
      <x:c r="D319" s="2"/>
      <x:c r="E319" s="2"/>
    </x:row>
    <x:row r="320" ht="23" customHeight="1">
      <x:c r="A320" s="2"/>
      <x:c r="B320" s="2"/>
      <x:c r="C320" s="2"/>
      <x:c r="D320" s="2"/>
      <x:c r="E320" s="2"/>
    </x:row>
    <x:row r="321" ht="23" customHeight="1">
      <x:c r="A321" s="2"/>
      <x:c r="B321" s="2"/>
      <x:c r="C321" s="2"/>
      <x:c r="D321" s="2"/>
      <x:c r="E321" s="2"/>
    </x:row>
    <x:row r="322" ht="23" customHeight="1">
      <x:c r="A322" s="2"/>
      <x:c r="B322" s="2"/>
      <x:c r="C322" s="2"/>
      <x:c r="D322" s="2"/>
      <x:c r="E322" s="2"/>
    </x:row>
    <x:row r="323" ht="23" customHeight="1">
      <x:c r="A323" s="2"/>
      <x:c r="B323" s="2"/>
      <x:c r="C323" s="2"/>
      <x:c r="D323" s="2"/>
      <x:c r="E323" s="2"/>
    </x:row>
    <x:row r="324" ht="23" customHeight="1">
      <x:c r="A324" s="2"/>
      <x:c r="B324" s="2"/>
      <x:c r="C324" s="2"/>
      <x:c r="D324" s="2"/>
      <x:c r="E324" s="2"/>
    </x:row>
    <x:row r="325" ht="23" customHeight="1">
      <x:c r="A325" s="2"/>
      <x:c r="B325" s="2"/>
      <x:c r="C325" s="2"/>
      <x:c r="D325" s="2"/>
      <x:c r="E325" s="2"/>
    </x:row>
    <x:row r="326" ht="23" customHeight="1">
      <x:c r="A326" s="2"/>
      <x:c r="B326" s="2"/>
      <x:c r="C326" s="2"/>
      <x:c r="D326" s="2"/>
      <x:c r="E326" s="2"/>
    </x:row>
    <x:row r="327" ht="23" customHeight="1">
      <x:c r="A327" s="2"/>
      <x:c r="B327" s="2"/>
      <x:c r="C327" s="2"/>
      <x:c r="D327" s="2"/>
      <x:c r="E327" s="2"/>
    </x:row>
    <x:row r="328" ht="23" customHeight="1">
      <x:c r="A328" s="2"/>
      <x:c r="B328" s="2"/>
      <x:c r="C328" s="2"/>
      <x:c r="D328" s="2"/>
      <x:c r="E328" s="2"/>
    </x:row>
    <x:row r="329" ht="23" customHeight="1">
      <x:c r="A329" s="2"/>
      <x:c r="B329" s="2"/>
      <x:c r="C329" s="2"/>
      <x:c r="D329" s="2"/>
      <x:c r="E329" s="2"/>
    </x:row>
    <x:row r="330" ht="23" customHeight="1">
      <x:c r="A330" s="2"/>
      <x:c r="B330" s="2"/>
      <x:c r="C330" s="2"/>
      <x:c r="D330" s="2"/>
      <x:c r="E330" s="2"/>
    </x:row>
    <x:row r="331" ht="23" customHeight="1">
      <x:c r="A331" s="2"/>
      <x:c r="B331" s="2"/>
      <x:c r="C331" s="2"/>
      <x:c r="D331" s="2"/>
      <x:c r="E331" s="2"/>
    </x:row>
    <x:row r="332" ht="23" customHeight="1">
      <x:c r="A332" s="2"/>
      <x:c r="B332" s="2"/>
      <x:c r="C332" s="2"/>
      <x:c r="D332" s="2"/>
      <x:c r="E332" s="2"/>
    </x:row>
    <x:row r="333" ht="23" customHeight="1">
      <x:c r="A333" s="2"/>
      <x:c r="B333" s="2"/>
      <x:c r="C333" s="2"/>
      <x:c r="D333" s="2"/>
      <x:c r="E333" s="2"/>
    </x:row>
    <x:row r="334" ht="23" customHeight="1">
      <x:c r="A334" s="2"/>
      <x:c r="B334" s="2"/>
      <x:c r="C334" s="2"/>
      <x:c r="D334" s="2"/>
      <x:c r="E334" s="2"/>
    </x:row>
    <x:row r="335" ht="23" customHeight="1">
      <x:c r="A335" s="2"/>
      <x:c r="B335" s="2"/>
      <x:c r="C335" s="2"/>
      <x:c r="D335" s="2"/>
      <x:c r="E335" s="2"/>
    </x:row>
    <x:row r="336" ht="23" customHeight="1">
      <x:c r="A336" s="2"/>
      <x:c r="B336" s="2"/>
      <x:c r="C336" s="2"/>
      <x:c r="D336" s="2"/>
      <x:c r="E336" s="2"/>
    </x:row>
    <x:row r="337" ht="23" customHeight="1">
      <x:c r="A337" s="2"/>
      <x:c r="B337" s="2"/>
      <x:c r="C337" s="2"/>
      <x:c r="D337" s="2"/>
      <x:c r="E337" s="2"/>
    </x:row>
    <x:row r="338" ht="23" customHeight="1">
      <x:c r="A338" s="2"/>
      <x:c r="B338" s="2"/>
      <x:c r="C338" s="2"/>
      <x:c r="D338" s="2"/>
      <x:c r="E338" s="2"/>
    </x:row>
    <x:row r="339" ht="23" customHeight="1">
      <x:c r="A339" s="2"/>
      <x:c r="B339" s="2"/>
      <x:c r="C339" s="2"/>
      <x:c r="D339" s="2"/>
      <x:c r="E339" s="2"/>
    </x:row>
    <x:row r="340" ht="23" customHeight="1">
      <x:c r="A340" s="2"/>
      <x:c r="B340" s="2"/>
      <x:c r="C340" s="2"/>
      <x:c r="D340" s="2"/>
      <x:c r="E340" s="2"/>
    </x:row>
    <x:row r="341" ht="23" customHeight="1">
      <x:c r="A341" s="2"/>
      <x:c r="B341" s="2"/>
      <x:c r="C341" s="2"/>
      <x:c r="D341" s="2"/>
      <x:c r="E341" s="2"/>
    </x:row>
    <x:row r="342" ht="23" customHeight="1">
      <x:c r="A342" s="2"/>
      <x:c r="B342" s="2"/>
      <x:c r="C342" s="2"/>
      <x:c r="D342" s="2"/>
      <x:c r="E342" s="2"/>
    </x:row>
    <x:row r="343" ht="23" customHeight="1">
      <x:c r="A343" s="2"/>
      <x:c r="B343" s="2"/>
      <x:c r="C343" s="2"/>
      <x:c r="D343" s="2"/>
      <x:c r="E343" s="2"/>
    </x:row>
    <x:row r="344" ht="23" customHeight="1">
      <x:c r="A344" s="2"/>
      <x:c r="B344" s="2"/>
      <x:c r="C344" s="2"/>
      <x:c r="D344" s="2"/>
      <x:c r="E344" s="2"/>
    </x:row>
    <x:row r="345" ht="23" customHeight="1">
      <x:c r="A345" s="2"/>
      <x:c r="B345" s="2"/>
      <x:c r="C345" s="2"/>
      <x:c r="D345" s="2"/>
      <x:c r="E345" s="2"/>
    </x:row>
    <x:row r="346" ht="23" customHeight="1">
      <x:c r="A346" s="2"/>
      <x:c r="B346" s="2"/>
      <x:c r="C346" s="2"/>
      <x:c r="D346" s="2"/>
      <x:c r="E346" s="2"/>
    </x:row>
    <x:row r="347" ht="23" customHeight="1">
      <x:c r="A347" s="2"/>
      <x:c r="B347" s="2"/>
      <x:c r="C347" s="2"/>
      <x:c r="D347" s="2"/>
      <x:c r="E347" s="2"/>
    </x:row>
    <x:row r="348" ht="23" customHeight="1">
      <x:c r="A348" s="2"/>
      <x:c r="B348" s="2"/>
      <x:c r="C348" s="2"/>
      <x:c r="D348" s="2"/>
      <x:c r="E348" s="2"/>
    </x:row>
    <x:row r="349" ht="23" customHeight="1">
      <x:c r="A349" s="2"/>
      <x:c r="B349" s="2"/>
      <x:c r="C349" s="2"/>
      <x:c r="D349" s="2"/>
      <x:c r="E349" s="2"/>
    </x:row>
    <x:row r="350" ht="23" customHeight="1">
      <x:c r="A350" s="2"/>
      <x:c r="B350" s="2"/>
      <x:c r="C350" s="2"/>
      <x:c r="D350" s="2"/>
      <x:c r="E350" s="2"/>
    </x:row>
    <x:row r="351" ht="23" customHeight="1">
      <x:c r="A351" s="2"/>
      <x:c r="B351" s="2"/>
      <x:c r="C351" s="2"/>
      <x:c r="D351" s="2"/>
      <x:c r="E351" s="2"/>
    </x:row>
    <x:row r="352" ht="23" customHeight="1">
      <x:c r="A352" s="2"/>
      <x:c r="B352" s="2"/>
      <x:c r="C352" s="2"/>
      <x:c r="D352" s="2"/>
      <x:c r="E352" s="2"/>
    </x:row>
    <x:row r="353" ht="23" customHeight="1">
      <x:c r="A353" s="2"/>
      <x:c r="B353" s="2"/>
      <x:c r="C353" s="2"/>
      <x:c r="D353" s="2"/>
      <x:c r="E353" s="2"/>
    </x:row>
    <x:row r="354" ht="23" customHeight="1">
      <x:c r="A354" s="2"/>
      <x:c r="B354" s="2"/>
      <x:c r="C354" s="2"/>
      <x:c r="D354" s="2"/>
      <x:c r="E354" s="2"/>
    </x:row>
    <x:row r="355" ht="23" customHeight="1">
      <x:c r="A355" s="2"/>
      <x:c r="B355" s="2"/>
      <x:c r="C355" s="2"/>
      <x:c r="D355" s="2"/>
      <x:c r="E355" s="2"/>
    </x:row>
    <x:row r="356" ht="23" customHeight="1">
      <x:c r="A356" s="2"/>
      <x:c r="B356" s="2"/>
      <x:c r="C356" s="2"/>
      <x:c r="D356" s="2"/>
      <x:c r="E356" s="2"/>
    </x:row>
    <x:row r="357" ht="23" customHeight="1">
      <x:c r="A357" s="2"/>
      <x:c r="B357" s="2"/>
      <x:c r="C357" s="2"/>
      <x:c r="D357" s="2"/>
      <x:c r="E357" s="2"/>
    </x:row>
    <x:row r="358" ht="23" customHeight="1">
      <x:c r="A358" s="2"/>
      <x:c r="B358" s="2"/>
      <x:c r="C358" s="2"/>
      <x:c r="D358" s="2"/>
      <x:c r="E358" s="2"/>
    </x:row>
    <x:row r="359" ht="23" customHeight="1">
      <x:c r="A359" s="2"/>
      <x:c r="B359" s="2"/>
      <x:c r="C359" s="2"/>
      <x:c r="D359" s="2"/>
      <x:c r="E359" s="2"/>
    </x:row>
    <x:row r="360" ht="23" customHeight="1">
      <x:c r="A360" s="2"/>
      <x:c r="B360" s="2"/>
      <x:c r="C360" s="2"/>
      <x:c r="D360" s="2"/>
      <x:c r="E360" s="2"/>
    </x:row>
    <x:row r="361" ht="23" customHeight="1">
      <x:c r="A361" s="2"/>
      <x:c r="B361" s="2"/>
      <x:c r="C361" s="2"/>
      <x:c r="D361" s="2"/>
      <x:c r="E361" s="2"/>
    </x:row>
    <x:row r="362" ht="23" customHeight="1">
      <x:c r="A362" s="2"/>
      <x:c r="B362" s="2"/>
      <x:c r="C362" s="2"/>
      <x:c r="D362" s="2"/>
      <x:c r="E362" s="2"/>
    </x:row>
    <x:row r="363" ht="23" customHeight="1">
      <x:c r="A363" s="2"/>
      <x:c r="B363" s="2"/>
      <x:c r="C363" s="2"/>
      <x:c r="D363" s="2"/>
      <x:c r="E363" s="2"/>
    </x:row>
    <x:row r="364" ht="23" customHeight="1">
      <x:c r="A364" s="2"/>
      <x:c r="B364" s="2"/>
      <x:c r="C364" s="2"/>
      <x:c r="D364" s="2"/>
      <x:c r="E364" s="2"/>
    </x:row>
    <x:row r="365" ht="23" customHeight="1">
      <x:c r="A365" s="2"/>
      <x:c r="B365" s="2"/>
      <x:c r="C365" s="2"/>
      <x:c r="D365" s="2"/>
      <x:c r="E365" s="2"/>
    </x:row>
    <x:row r="366" ht="23" customHeight="1">
      <x:c r="A366" s="2"/>
      <x:c r="B366" s="2"/>
      <x:c r="C366" s="2"/>
      <x:c r="D366" s="2"/>
      <x:c r="E366" s="2"/>
    </x:row>
    <x:row r="367" ht="23" customHeight="1">
      <x:c r="A367" s="2"/>
      <x:c r="B367" s="2"/>
      <x:c r="C367" s="2"/>
      <x:c r="D367" s="2"/>
      <x:c r="E367" s="2"/>
    </x:row>
    <x:row r="368" ht="23" customHeight="1">
      <x:c r="A368" s="2"/>
      <x:c r="B368" s="2"/>
      <x:c r="C368" s="2"/>
      <x:c r="D368" s="2"/>
      <x:c r="E368" s="2"/>
    </x:row>
    <x:row r="369" ht="23" customHeight="1">
      <x:c r="A369" s="2"/>
      <x:c r="B369" s="2"/>
      <x:c r="C369" s="2"/>
      <x:c r="D369" s="2"/>
      <x:c r="E369" s="2"/>
    </x:row>
    <x:row r="370" ht="23" customHeight="1">
      <x:c r="A370" s="2"/>
      <x:c r="B370" s="2"/>
      <x:c r="C370" s="2"/>
      <x:c r="D370" s="2"/>
      <x:c r="E370" s="2"/>
    </x:row>
    <x:row r="371" ht="23" customHeight="1">
      <x:c r="A371" s="2"/>
      <x:c r="B371" s="2"/>
      <x:c r="C371" s="2"/>
      <x:c r="D371" s="2"/>
      <x:c r="E371" s="2"/>
    </x:row>
    <x:row r="372" ht="23" customHeight="1">
      <x:c r="A372" s="2"/>
      <x:c r="B372" s="2"/>
      <x:c r="C372" s="2"/>
      <x:c r="D372" s="2"/>
      <x:c r="E372" s="2"/>
    </x:row>
    <x:row r="373" ht="23" customHeight="1">
      <x:c r="A373" s="2"/>
      <x:c r="B373" s="2"/>
      <x:c r="C373" s="2"/>
      <x:c r="D373" s="2"/>
      <x:c r="E373" s="2"/>
    </x:row>
    <x:row r="374" ht="23" customHeight="1">
      <x:c r="A374" s="2"/>
      <x:c r="B374" s="2"/>
      <x:c r="C374" s="2"/>
      <x:c r="D374" s="2"/>
      <x:c r="E374" s="2"/>
    </x:row>
    <x:row r="375" ht="23" customHeight="1">
      <x:c r="A375" s="2"/>
      <x:c r="B375" s="2"/>
      <x:c r="C375" s="2"/>
      <x:c r="D375" s="2"/>
      <x:c r="E375" s="2"/>
    </x:row>
    <x:row r="376" ht="23" customHeight="1">
      <x:c r="A376" s="2"/>
      <x:c r="B376" s="2"/>
      <x:c r="C376" s="2"/>
      <x:c r="D376" s="2"/>
      <x:c r="E376" s="2"/>
    </x:row>
    <x:row r="377" ht="23" customHeight="1">
      <x:c r="A377" s="2"/>
      <x:c r="B377" s="2"/>
      <x:c r="C377" s="2"/>
      <x:c r="D377" s="2"/>
      <x:c r="E377" s="2"/>
    </x:row>
    <x:row r="378" ht="23" customHeight="1">
      <x:c r="A378" s="2"/>
      <x:c r="B378" s="2"/>
      <x:c r="C378" s="2"/>
      <x:c r="D378" s="2"/>
      <x:c r="E378" s="2"/>
    </x:row>
    <x:row r="379" ht="23" customHeight="1">
      <x:c r="A379" s="2"/>
      <x:c r="B379" s="2"/>
      <x:c r="C379" s="2"/>
      <x:c r="D379" s="2"/>
      <x:c r="E379" s="2"/>
    </x:row>
    <x:row r="380" ht="23" customHeight="1">
      <x:c r="A380" s="2"/>
      <x:c r="B380" s="2"/>
      <x:c r="C380" s="2"/>
      <x:c r="D380" s="2"/>
      <x:c r="E380" s="2"/>
    </x:row>
    <x:row r="381" ht="23" customHeight="1">
      <x:c r="A381" s="2"/>
      <x:c r="B381" s="2"/>
      <x:c r="C381" s="2"/>
      <x:c r="D381" s="2"/>
      <x:c r="E381" s="2"/>
    </x:row>
    <x:row r="382" ht="23" customHeight="1">
      <x:c r="A382" s="2"/>
      <x:c r="B382" s="2"/>
      <x:c r="C382" s="2"/>
      <x:c r="D382" s="2"/>
      <x:c r="E382" s="2"/>
    </x:row>
    <x:row r="383" ht="23" customHeight="1">
      <x:c r="A383" s="2"/>
      <x:c r="B383" s="2"/>
      <x:c r="C383" s="2"/>
      <x:c r="D383" s="2"/>
      <x:c r="E383" s="2"/>
    </x:row>
    <x:row r="384" ht="23" customHeight="1">
      <x:c r="A384" s="2"/>
      <x:c r="B384" s="2"/>
      <x:c r="C384" s="2"/>
      <x:c r="D384" s="2"/>
      <x:c r="E384" s="2"/>
    </x:row>
    <x:row r="385" ht="23" customHeight="1">
      <x:c r="A385" s="2"/>
      <x:c r="B385" s="2"/>
      <x:c r="C385" s="2"/>
      <x:c r="D385" s="2"/>
      <x:c r="E385" s="2"/>
    </x:row>
    <x:row r="386" ht="23" customHeight="1">
      <x:c r="A386" s="2"/>
      <x:c r="B386" s="2"/>
      <x:c r="C386" s="2"/>
      <x:c r="D386" s="2"/>
      <x:c r="E386" s="2"/>
    </x:row>
    <x:row r="387" ht="23" customHeight="1">
      <x:c r="A387" s="2"/>
      <x:c r="B387" s="2"/>
      <x:c r="C387" s="2"/>
      <x:c r="D387" s="2"/>
      <x:c r="E387" s="2"/>
    </x:row>
    <x:row r="388" ht="23" customHeight="1">
      <x:c r="A388" s="2"/>
      <x:c r="B388" s="2"/>
      <x:c r="C388" s="2"/>
      <x:c r="D388" s="2"/>
      <x:c r="E388" s="2"/>
    </x:row>
    <x:row r="389" ht="23" customHeight="1">
      <x:c r="A389" s="2"/>
      <x:c r="B389" s="2"/>
      <x:c r="C389" s="2"/>
      <x:c r="D389" s="2"/>
      <x:c r="E389" s="2"/>
    </x:row>
    <x:row r="390" ht="23" customHeight="1">
      <x:c r="A390" s="2"/>
      <x:c r="B390" s="2"/>
      <x:c r="C390" s="2"/>
      <x:c r="D390" s="2"/>
      <x:c r="E390" s="2"/>
    </x:row>
    <x:row r="391" ht="23" customHeight="1">
      <x:c r="A391" s="2"/>
      <x:c r="B391" s="2"/>
      <x:c r="C391" s="2"/>
      <x:c r="D391" s="2"/>
      <x:c r="E391" s="2"/>
    </x:row>
    <x:row r="392" ht="23" customHeight="1">
      <x:c r="A392" s="2"/>
      <x:c r="B392" s="2"/>
      <x:c r="C392" s="2"/>
      <x:c r="D392" s="2"/>
      <x:c r="E392" s="2"/>
    </x:row>
    <x:row r="393" ht="23" customHeight="1">
      <x:c r="A393" s="2"/>
      <x:c r="B393" s="2"/>
      <x:c r="C393" s="2"/>
      <x:c r="D393" s="2"/>
      <x:c r="E393" s="2"/>
    </x:row>
    <x:row r="394" ht="23" customHeight="1">
      <x:c r="A394" s="2"/>
      <x:c r="B394" s="2"/>
      <x:c r="C394" s="2"/>
      <x:c r="D394" s="2"/>
      <x:c r="E394" s="2"/>
    </x:row>
    <x:row r="395" ht="23" customHeight="1">
      <x:c r="A395" s="2"/>
      <x:c r="B395" s="2"/>
      <x:c r="C395" s="2"/>
      <x:c r="D395" s="2"/>
      <x:c r="E395" s="2"/>
    </x:row>
    <x:row r="396" ht="23" customHeight="1">
      <x:c r="A396" s="2"/>
      <x:c r="B396" s="2"/>
      <x:c r="C396" s="2"/>
      <x:c r="D396" s="2"/>
      <x:c r="E396" s="2"/>
    </x:row>
    <x:row r="397" ht="23" customHeight="1">
      <x:c r="A397" s="2"/>
      <x:c r="B397" s="2"/>
      <x:c r="C397" s="2"/>
      <x:c r="D397" s="2"/>
      <x:c r="E397" s="2"/>
    </x:row>
    <x:row r="398" ht="23" customHeight="1">
      <x:c r="A398" s="2"/>
      <x:c r="B398" s="2"/>
      <x:c r="C398" s="2"/>
      <x:c r="D398" s="2"/>
      <x:c r="E398" s="2"/>
    </x:row>
    <x:row r="399" ht="23" customHeight="1">
      <x:c r="A399" s="2"/>
      <x:c r="B399" s="2"/>
      <x:c r="C399" s="2"/>
      <x:c r="D399" s="2"/>
      <x:c r="E399" s="2"/>
    </x:row>
    <x:row r="400" ht="23" customHeight="1">
      <x:c r="A400" s="2"/>
      <x:c r="B400" s="2"/>
      <x:c r="C400" s="2"/>
      <x:c r="D400" s="2"/>
      <x:c r="E400" s="2"/>
    </x:row>
  </x:sheetData>
  <x:mergeCells>
    <x:mergeCell ref="A1:E1"/>
    <x:mergeCell ref="A2:E2"/>
    <x:mergeCell ref="A22:E22"/>
    <x:mergeCell ref="A23:E23"/>
    <x:mergeCell ref="A24:E24"/>
    <x:mergeCell ref="A25:E25"/>
    <x:mergeCell ref="A26:E26"/>
    <x:mergeCell ref="A34:E34"/>
    <x:mergeCell ref="A35:E3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.66999816894531" hidden="0" customWidth="1"/>
    <x:col min="2" max="2" width="21.110000610351562" hidden="0" customWidth="1"/>
    <x:col min="3" max="3" width="37.779998779296875" hidden="0" customWidth="1"/>
    <x:col min="4" max="4" width="62.220001220703125" hidden="0" customWidth="1"/>
  </x:cols>
  <x:sheetData>
    <x:row r="1" ht="43" customHeight="1">
      <x:c r="A1" s="4" t="str">
        <x:v>Constellation：回报门槛与合同时间</x:v>
      </x:c>
      <x:c r="B1" s="4"/>
      <x:c r="C1" s="4"/>
      <x:c r="D1" s="4"/>
    </x:row>
    <x:row r="2" ht="30" customHeight="1">
      <x:c r="A2" s="5" t="str">
        <x:v>候选观察；2028 盈利尚未完成持续口径建模，不纳入正式买入排序。</x:v>
      </x:c>
      <x:c r="B2" s="5"/>
      <x:c r="C2" s="5"/>
      <x:c r="D2" s="5"/>
    </x:row>
    <x:row r="3" ht="23" customHeight="1">
      <x:c r="A3" s="2"/>
      <x:c r="B3" s="2"/>
      <x:c r="C3" s="2"/>
      <x:c r="D3" s="2"/>
    </x:row>
    <x:row r="4" ht="38" customHeight="1">
      <x:c r="A4" s="8" t="str">
        <x:v>项目</x:v>
      </x:c>
      <x:c r="B4" s="8" t="str">
        <x:v>数值</x:v>
      </x:c>
      <x:c r="C4" s="8" t="str">
        <x:v>口径</x:v>
      </x:c>
      <x:c r="D4" s="8" t="str">
        <x:v>依据与判断</x:v>
      </x:c>
    </x:row>
    <x:row r="5" ht="36" customHeight="1">
      <x:c r="A5" s="10" t="str">
        <x:v>CEG 当前价格</x:v>
      </x:c>
      <x:c r="B5" s="11" t="n">
        <x:f>'行情'!B17</x:f>
        <x:v>298.96</x:v>
      </x:c>
      <x:c r="C5" s="10" t="str">
        <x:v>USD / 股</x:v>
      </x:c>
      <x:c r="D5" s="10" t="str">
        <x:v>2026-09-04 历史日线收盘</x:v>
      </x:c>
    </x:row>
    <x:row r="6" ht="36" customHeight="1">
      <x:c r="A6" s="15" t="str">
        <x:v>2026 调整 EPS 指引低端</x:v>
      </x:c>
      <x:c r="B6" s="28" t="n">
        <x:v>11.5</x:v>
      </x:c>
      <x:c r="C6" s="15" t="str">
        <x:v>USD / 股</x:v>
      </x:c>
      <x:c r="D6" s="15" t="str">
        <x:v>公司 Q2 更新指引</x:v>
      </x:c>
    </x:row>
    <x:row r="7" ht="36" customHeight="1">
      <x:c r="A7" s="10" t="str">
        <x:v>2026 调整 EPS 指引高端</x:v>
      </x:c>
      <x:c r="B7" s="25" t="n">
        <x:v>12.5</x:v>
      </x:c>
      <x:c r="C7" s="10" t="str">
        <x:v>USD / 股</x:v>
      </x:c>
      <x:c r="D7" s="10" t="str">
        <x:v>公司 Q2 更新指引</x:v>
      </x:c>
    </x:row>
    <x:row r="8" ht="36" customHeight="1">
      <x:c r="A8" s="15" t="str">
        <x:v>2026 指引中点</x:v>
      </x:c>
      <x:c r="B8" s="16" t="n">
        <x:f>(B6+B7)/2</x:f>
        <x:v>12</x:v>
      </x:c>
      <x:c r="C8" s="15" t="str">
        <x:v>USD / 股</x:v>
      </x:c>
      <x:c r="D8" s="15" t="str">
        <x:v>低端与高端平均</x:v>
      </x:c>
    </x:row>
    <x:row r="9" ht="36" customHeight="1">
      <x:c r="A9" s="10" t="str">
        <x:v>现价 / 2026 指引中点</x:v>
      </x:c>
      <x:c r="B9" s="11" t="n">
        <x:f>B5/B8</x:f>
        <x:v>24.91333333333333</x:v>
      </x:c>
      <x:c r="C9" s="10" t="str">
        <x:v>倍</x:v>
      </x:c>
      <x:c r="D9" s="10" t="str">
        <x:v>调整 EPS 未等同于持续股东现金流</x:v>
      </x:c>
    </x:row>
    <x:row r="10" ht="23" customHeight="1">
      <x:c r="A10" s="2"/>
      <x:c r="B10" s="57"/>
      <x:c r="C10" s="2"/>
      <x:c r="D10" s="2"/>
    </x:row>
    <x:row r="11" ht="36" customHeight="1">
      <x:c r="A11" s="10" t="str">
        <x:v>持有年数</x:v>
      </x:c>
      <x:c r="B11" s="25" t="n">
        <x:v>2</x:v>
      </x:c>
      <x:c r="C11" s="10" t="str">
        <x:v>年</x:v>
      </x:c>
      <x:c r="D11" s="10" t="str">
        <x:v>研究假设</x:v>
      </x:c>
    </x:row>
    <x:row r="12" ht="36" customHeight="1">
      <x:c r="A12" s="15" t="str">
        <x:v>年化回报门槛</x:v>
      </x:c>
      <x:c r="B12" s="58" t="n">
        <x:v>0.15</x:v>
      </x:c>
      <x:c r="C12" s="15" t="str">
        <x:v>年化</x:v>
      </x:c>
      <x:c r="D12" s="15" t="str">
        <x:v>研究假设</x:v>
      </x:c>
    </x:row>
    <x:row r="13" ht="36" customHeight="1">
      <x:c r="A13" s="10" t="str">
        <x:v>2028 退出市盈率</x:v>
      </x:c>
      <x:c r="B13" s="25" t="n">
        <x:v>23</x:v>
      </x:c>
      <x:c r="C13" s="10" t="str">
        <x:v>倍</x:v>
      </x:c>
      <x:c r="D13" s="10" t="str">
        <x:v>门槛反算假设；不是目标价预测</x:v>
      </x:c>
    </x:row>
    <x:row r="14" ht="36" customHeight="1">
      <x:c r="A14" s="15" t="str">
        <x:v>达到门槛所需 2028 EPS</x:v>
      </x:c>
      <x:c r="B14" s="16" t="n">
        <x:f>B5*(1+B12)^B11/B13</x:f>
        <x:v>17.190199999999997</x:v>
      </x:c>
      <x:c r="C14" s="15" t="str">
        <x:v>USD / 股</x:v>
      </x:c>
      <x:c r="D14" s="15" t="str">
        <x:v>为简化反算，未计股息；计入股息将略低</x:v>
      </x:c>
    </x:row>
    <x:row r="15" ht="36" customHeight="1">
      <x:c r="A15" s="10" t="str">
        <x:v>所需 EPS 累计增长</x:v>
      </x:c>
      <x:c r="B15" s="12" t="n">
        <x:f>B14/B8-1</x:f>
        <x:v>0.43251666666666644</x:v>
      </x:c>
      <x:c r="C15" s="10" t="str">
        <x:v>相对 2026 指引中点</x:v>
      </x:c>
      <x:c r="D15" s="10" t="str">
        <x:v>需核实重启、Calpine 整合和持续费用</x:v>
      </x:c>
    </x:row>
    <x:row r="16" ht="23" customHeight="1">
      <x:c r="A16" s="2"/>
      <x:c r="B16" s="2"/>
      <x:c r="C16" s="2"/>
      <x:c r="D16" s="2"/>
    </x:row>
    <x:row r="17" ht="38" customHeight="1">
      <x:c r="A17" s="9" t="str">
        <x:v>Crane 重启目标为 2027。新增 920 MW 协议预计 2029–2032 开始，多数收益在本次窗口外。</x:v>
      </x:c>
      <x:c r="B17" s="9"/>
      <x:c r="C17" s="9"/>
      <x:c r="D17" s="9"/>
    </x:row>
    <x:row r="18" ht="38" customHeight="1">
      <x:c r="A18" s="9" t="str">
        <x:v>Clinton 核电 PPA 从 2027 年 6 月开始，取代 ZEC 支持；新增利润仍需核对合同净收益。</x:v>
      </x:c>
      <x:c r="B18" s="9"/>
      <x:c r="C18" s="9"/>
      <x:c r="D18" s="9"/>
    </x:row>
    <x:row r="19" ht="38" customHeight="1">
      <x:c r="A19" s="9" t="str">
        <x:v>保留研究资格，当前不建议买入。持续 EPS、重启成本与合同净收益未完成核对，不能仅凭稀缺性给目标价。</x:v>
      </x:c>
      <x:c r="B19" s="9"/>
      <x:c r="C19" s="9"/>
      <x:c r="D19" s="9"/>
    </x:row>
    <x:row r="20" ht="38" customHeight="1">
      <x:c r="A20" s="9" t="str">
        <x:v>来源：MP 系列。CEG 具有真实商业核电价值，与新核电建设、受监管输配电分别评估。</x:v>
      </x:c>
      <x:c r="B20" s="9"/>
      <x:c r="C20" s="9"/>
      <x:c r="D20" s="9"/>
    </x:row>
    <x:row r="21" ht="23" customHeight="1">
      <x:c r="A21" s="2"/>
      <x:c r="B21" s="2"/>
      <x:c r="C21" s="2"/>
      <x:c r="D21" s="2"/>
    </x:row>
    <x:row r="22" ht="23" customHeight="1">
      <x:c r="A22" s="2"/>
      <x:c r="B22" s="2"/>
      <x:c r="C22" s="2"/>
      <x:c r="D22" s="2"/>
    </x:row>
    <x:row r="23" ht="23" customHeight="1">
      <x:c r="A23" s="2"/>
      <x:c r="B23" s="2"/>
      <x:c r="C23" s="2"/>
      <x:c r="D23" s="2"/>
    </x:row>
    <x:row r="24" ht="23" customHeight="1">
      <x:c r="A24" s="2"/>
      <x:c r="B24" s="2"/>
      <x:c r="C24" s="2"/>
      <x:c r="D24" s="2"/>
    </x:row>
    <x:row r="25" ht="23" customHeight="1">
      <x:c r="A25" s="2"/>
      <x:c r="B25" s="2"/>
      <x:c r="C25" s="2"/>
      <x:c r="D25" s="2"/>
    </x:row>
    <x:row r="26" ht="23" customHeight="1">
      <x:c r="A26" s="2"/>
      <x:c r="B26" s="2"/>
      <x:c r="C26" s="2"/>
      <x:c r="D26" s="2"/>
    </x:row>
    <x:row r="27" ht="23" customHeight="1">
      <x:c r="A27" s="2"/>
      <x:c r="B27" s="2"/>
      <x:c r="C27" s="2"/>
      <x:c r="D27" s="2"/>
    </x:row>
    <x:row r="28" ht="23" customHeight="1">
      <x:c r="A28" s="2"/>
      <x:c r="B28" s="2"/>
      <x:c r="C28" s="2"/>
      <x:c r="D28" s="2"/>
    </x:row>
    <x:row r="29" ht="23" customHeight="1">
      <x:c r="A29" s="2"/>
      <x:c r="B29" s="2"/>
      <x:c r="C29" s="2"/>
      <x:c r="D29" s="2"/>
    </x:row>
    <x:row r="30" ht="23" customHeight="1">
      <x:c r="A30" s="2"/>
      <x:c r="B30" s="2"/>
      <x:c r="C30" s="2"/>
      <x:c r="D30" s="2"/>
    </x:row>
    <x:row r="31" ht="23" customHeight="1">
      <x:c r="A31" s="2"/>
      <x:c r="B31" s="2"/>
      <x:c r="C31" s="2"/>
      <x:c r="D31" s="2"/>
    </x:row>
    <x:row r="32" ht="23" customHeight="1">
      <x:c r="A32" s="2"/>
      <x:c r="B32" s="2"/>
      <x:c r="C32" s="2"/>
      <x:c r="D32" s="2"/>
    </x:row>
    <x:row r="33" ht="23" customHeight="1">
      <x:c r="A33" s="2"/>
      <x:c r="B33" s="2"/>
      <x:c r="C33" s="2"/>
      <x:c r="D33" s="2"/>
    </x:row>
    <x:row r="34" ht="23" customHeight="1">
      <x:c r="A34" s="2"/>
      <x:c r="B34" s="2"/>
      <x:c r="C34" s="2"/>
      <x:c r="D34" s="2"/>
    </x:row>
    <x:row r="35" ht="23" customHeight="1">
      <x:c r="A35" s="2"/>
      <x:c r="B35" s="2"/>
      <x:c r="C35" s="2"/>
      <x:c r="D35" s="2"/>
    </x:row>
    <x:row r="36" ht="23" customHeight="1">
      <x:c r="A36" s="2"/>
      <x:c r="B36" s="2"/>
      <x:c r="C36" s="2"/>
      <x:c r="D36" s="2"/>
    </x:row>
    <x:row r="37" ht="23" customHeight="1">
      <x:c r="A37" s="2"/>
      <x:c r="B37" s="2"/>
      <x:c r="C37" s="2"/>
      <x:c r="D37" s="2"/>
    </x:row>
    <x:row r="38" ht="23" customHeight="1">
      <x:c r="A38" s="2"/>
      <x:c r="B38" s="2"/>
      <x:c r="C38" s="2"/>
      <x:c r="D38" s="2"/>
    </x:row>
    <x:row r="39" ht="23" customHeight="1">
      <x:c r="A39" s="2"/>
      <x:c r="B39" s="2"/>
      <x:c r="C39" s="2"/>
      <x:c r="D39" s="2"/>
    </x:row>
    <x:row r="40" ht="23" customHeight="1">
      <x:c r="A40" s="2"/>
      <x:c r="B40" s="2"/>
      <x:c r="C40" s="2"/>
      <x:c r="D40" s="2"/>
    </x:row>
    <x:row r="41" ht="23" customHeight="1">
      <x:c r="A41" s="2"/>
      <x:c r="B41" s="2"/>
      <x:c r="C41" s="2"/>
      <x:c r="D41" s="2"/>
    </x:row>
    <x:row r="42" ht="23" customHeight="1">
      <x:c r="A42" s="2"/>
      <x:c r="B42" s="2"/>
      <x:c r="C42" s="2"/>
      <x:c r="D42" s="2"/>
    </x:row>
    <x:row r="43" ht="23" customHeight="1">
      <x:c r="A43" s="2"/>
      <x:c r="B43" s="2"/>
      <x:c r="C43" s="2"/>
      <x:c r="D43" s="2"/>
    </x:row>
    <x:row r="44" ht="23" customHeight="1">
      <x:c r="A44" s="2"/>
      <x:c r="B44" s="2"/>
      <x:c r="C44" s="2"/>
      <x:c r="D44" s="2"/>
    </x:row>
    <x:row r="45" ht="23" customHeight="1">
      <x:c r="A45" s="2"/>
      <x:c r="B45" s="2"/>
      <x:c r="C45" s="2"/>
      <x:c r="D45" s="2"/>
    </x:row>
    <x:row r="46" ht="23" customHeight="1">
      <x:c r="A46" s="2"/>
      <x:c r="B46" s="2"/>
      <x:c r="C46" s="2"/>
      <x:c r="D46" s="2"/>
    </x:row>
    <x:row r="47" ht="23" customHeight="1">
      <x:c r="A47" s="2"/>
      <x:c r="B47" s="2"/>
      <x:c r="C47" s="2"/>
      <x:c r="D47" s="2"/>
    </x:row>
    <x:row r="48" ht="23" customHeight="1">
      <x:c r="A48" s="2"/>
      <x:c r="B48" s="2"/>
      <x:c r="C48" s="2"/>
      <x:c r="D48" s="2"/>
    </x:row>
    <x:row r="49" ht="23" customHeight="1">
      <x:c r="A49" s="2"/>
      <x:c r="B49" s="2"/>
      <x:c r="C49" s="2"/>
      <x:c r="D49" s="2"/>
    </x:row>
    <x:row r="50" ht="23" customHeight="1">
      <x:c r="A50" s="2"/>
      <x:c r="B50" s="2"/>
      <x:c r="C50" s="2"/>
      <x:c r="D50" s="2"/>
    </x:row>
    <x:row r="51" ht="23" customHeight="1">
      <x:c r="A51" s="2"/>
      <x:c r="B51" s="2"/>
      <x:c r="C51" s="2"/>
      <x:c r="D51" s="2"/>
    </x:row>
    <x:row r="52" ht="23" customHeight="1">
      <x:c r="A52" s="2"/>
      <x:c r="B52" s="2"/>
      <x:c r="C52" s="2"/>
      <x:c r="D52" s="2"/>
    </x:row>
    <x:row r="53" ht="23" customHeight="1">
      <x:c r="A53" s="2"/>
      <x:c r="B53" s="2"/>
      <x:c r="C53" s="2"/>
      <x:c r="D53" s="2"/>
    </x:row>
    <x:row r="54" ht="23" customHeight="1">
      <x:c r="A54" s="2"/>
      <x:c r="B54" s="2"/>
      <x:c r="C54" s="2"/>
      <x:c r="D54" s="2"/>
    </x:row>
    <x:row r="55" ht="23" customHeight="1">
      <x:c r="A55" s="2"/>
      <x:c r="B55" s="2"/>
      <x:c r="C55" s="2"/>
      <x:c r="D55" s="2"/>
    </x:row>
    <x:row r="56" ht="23" customHeight="1">
      <x:c r="A56" s="2"/>
      <x:c r="B56" s="2"/>
      <x:c r="C56" s="2"/>
      <x:c r="D56" s="2"/>
    </x:row>
    <x:row r="57" ht="23" customHeight="1">
      <x:c r="A57" s="2"/>
      <x:c r="B57" s="2"/>
      <x:c r="C57" s="2"/>
      <x:c r="D57" s="2"/>
    </x:row>
    <x:row r="58" ht="23" customHeight="1">
      <x:c r="A58" s="2"/>
      <x:c r="B58" s="2"/>
      <x:c r="C58" s="2"/>
      <x:c r="D58" s="2"/>
    </x:row>
    <x:row r="59" ht="23" customHeight="1">
      <x:c r="A59" s="2"/>
      <x:c r="B59" s="2"/>
      <x:c r="C59" s="2"/>
      <x:c r="D59" s="2"/>
    </x:row>
    <x:row r="60" ht="23" customHeight="1">
      <x:c r="A60" s="2"/>
      <x:c r="B60" s="2"/>
      <x:c r="C60" s="2"/>
      <x:c r="D60" s="2"/>
    </x:row>
    <x:row r="61" ht="23" customHeight="1">
      <x:c r="A61" s="2"/>
      <x:c r="B61" s="2"/>
      <x:c r="C61" s="2"/>
      <x:c r="D61" s="2"/>
    </x:row>
    <x:row r="62" ht="23" customHeight="1">
      <x:c r="A62" s="2"/>
      <x:c r="B62" s="2"/>
      <x:c r="C62" s="2"/>
      <x:c r="D62" s="2"/>
    </x:row>
    <x:row r="63" ht="23" customHeight="1">
      <x:c r="A63" s="2"/>
      <x:c r="B63" s="2"/>
      <x:c r="C63" s="2"/>
      <x:c r="D63" s="2"/>
    </x:row>
    <x:row r="64" ht="23" customHeight="1">
      <x:c r="A64" s="2"/>
      <x:c r="B64" s="2"/>
      <x:c r="C64" s="2"/>
      <x:c r="D64" s="2"/>
    </x:row>
    <x:row r="65" ht="23" customHeight="1">
      <x:c r="A65" s="2"/>
      <x:c r="B65" s="2"/>
      <x:c r="C65" s="2"/>
      <x:c r="D65" s="2"/>
    </x:row>
    <x:row r="66" ht="23" customHeight="1">
      <x:c r="A66" s="2"/>
      <x:c r="B66" s="2"/>
      <x:c r="C66" s="2"/>
      <x:c r="D66" s="2"/>
    </x:row>
    <x:row r="67" ht="23" customHeight="1">
      <x:c r="A67" s="2"/>
      <x:c r="B67" s="2"/>
      <x:c r="C67" s="2"/>
      <x:c r="D67" s="2"/>
    </x:row>
    <x:row r="68" ht="23" customHeight="1">
      <x:c r="A68" s="2"/>
      <x:c r="B68" s="2"/>
      <x:c r="C68" s="2"/>
      <x:c r="D68" s="2"/>
    </x:row>
    <x:row r="69" ht="23" customHeight="1">
      <x:c r="A69" s="2"/>
      <x:c r="B69" s="2"/>
      <x:c r="C69" s="2"/>
      <x:c r="D69" s="2"/>
    </x:row>
    <x:row r="70" ht="23" customHeight="1">
      <x:c r="A70" s="2"/>
      <x:c r="B70" s="2"/>
      <x:c r="C70" s="2"/>
      <x:c r="D70" s="2"/>
    </x:row>
    <x:row r="71" ht="23" customHeight="1">
      <x:c r="A71" s="2"/>
      <x:c r="B71" s="2"/>
      <x:c r="C71" s="2"/>
      <x:c r="D71" s="2"/>
    </x:row>
    <x:row r="72" ht="23" customHeight="1">
      <x:c r="A72" s="2"/>
      <x:c r="B72" s="2"/>
      <x:c r="C72" s="2"/>
      <x:c r="D72" s="2"/>
    </x:row>
    <x:row r="73" ht="23" customHeight="1">
      <x:c r="A73" s="2"/>
      <x:c r="B73" s="2"/>
      <x:c r="C73" s="2"/>
      <x:c r="D73" s="2"/>
    </x:row>
    <x:row r="74" ht="23" customHeight="1">
      <x:c r="A74" s="2"/>
      <x:c r="B74" s="2"/>
      <x:c r="C74" s="2"/>
      <x:c r="D74" s="2"/>
    </x:row>
    <x:row r="75" ht="23" customHeight="1">
      <x:c r="A75" s="2"/>
      <x:c r="B75" s="2"/>
      <x:c r="C75" s="2"/>
      <x:c r="D75" s="2"/>
    </x:row>
    <x:row r="76" ht="23" customHeight="1">
      <x:c r="A76" s="2"/>
      <x:c r="B76" s="2"/>
      <x:c r="C76" s="2"/>
      <x:c r="D76" s="2"/>
    </x:row>
    <x:row r="77" ht="23" customHeight="1">
      <x:c r="A77" s="2"/>
      <x:c r="B77" s="2"/>
      <x:c r="C77" s="2"/>
      <x:c r="D77" s="2"/>
    </x:row>
    <x:row r="78" ht="23" customHeight="1">
      <x:c r="A78" s="2"/>
      <x:c r="B78" s="2"/>
      <x:c r="C78" s="2"/>
      <x:c r="D78" s="2"/>
    </x:row>
    <x:row r="79" ht="23" customHeight="1">
      <x:c r="A79" s="2"/>
      <x:c r="B79" s="2"/>
      <x:c r="C79" s="2"/>
      <x:c r="D79" s="2"/>
    </x:row>
    <x:row r="80" ht="23" customHeight="1">
      <x:c r="A80" s="2"/>
      <x:c r="B80" s="2"/>
      <x:c r="C80" s="2"/>
      <x:c r="D80" s="2"/>
    </x:row>
    <x:row r="81" ht="23" customHeight="1">
      <x:c r="A81" s="2"/>
      <x:c r="B81" s="2"/>
      <x:c r="C81" s="2"/>
      <x:c r="D81" s="2"/>
    </x:row>
    <x:row r="82" ht="23" customHeight="1">
      <x:c r="A82" s="2"/>
      <x:c r="B82" s="2"/>
      <x:c r="C82" s="2"/>
      <x:c r="D82" s="2"/>
    </x:row>
    <x:row r="83" ht="23" customHeight="1">
      <x:c r="A83" s="2"/>
      <x:c r="B83" s="2"/>
      <x:c r="C83" s="2"/>
      <x:c r="D83" s="2"/>
    </x:row>
    <x:row r="84" ht="23" customHeight="1">
      <x:c r="A84" s="2"/>
      <x:c r="B84" s="2"/>
      <x:c r="C84" s="2"/>
      <x:c r="D84" s="2"/>
    </x:row>
    <x:row r="85" ht="23" customHeight="1">
      <x:c r="A85" s="2"/>
      <x:c r="B85" s="2"/>
      <x:c r="C85" s="2"/>
      <x:c r="D85" s="2"/>
    </x:row>
    <x:row r="86" ht="23" customHeight="1">
      <x:c r="A86" s="2"/>
      <x:c r="B86" s="2"/>
      <x:c r="C86" s="2"/>
      <x:c r="D86" s="2"/>
    </x:row>
    <x:row r="87" ht="23" customHeight="1">
      <x:c r="A87" s="2"/>
      <x:c r="B87" s="2"/>
      <x:c r="C87" s="2"/>
      <x:c r="D87" s="2"/>
    </x:row>
    <x:row r="88" ht="23" customHeight="1">
      <x:c r="A88" s="2"/>
      <x:c r="B88" s="2"/>
      <x:c r="C88" s="2"/>
      <x:c r="D88" s="2"/>
    </x:row>
    <x:row r="89" ht="23" customHeight="1">
      <x:c r="A89" s="2"/>
      <x:c r="B89" s="2"/>
      <x:c r="C89" s="2"/>
      <x:c r="D89" s="2"/>
    </x:row>
    <x:row r="90" ht="23" customHeight="1">
      <x:c r="A90" s="2"/>
      <x:c r="B90" s="2"/>
      <x:c r="C90" s="2"/>
      <x:c r="D90" s="2"/>
    </x:row>
    <x:row r="91" ht="23" customHeight="1">
      <x:c r="A91" s="2"/>
      <x:c r="B91" s="2"/>
      <x:c r="C91" s="2"/>
      <x:c r="D91" s="2"/>
    </x:row>
    <x:row r="92" ht="23" customHeight="1">
      <x:c r="A92" s="2"/>
      <x:c r="B92" s="2"/>
      <x:c r="C92" s="2"/>
      <x:c r="D92" s="2"/>
    </x:row>
    <x:row r="93" ht="23" customHeight="1">
      <x:c r="A93" s="2"/>
      <x:c r="B93" s="2"/>
      <x:c r="C93" s="2"/>
      <x:c r="D93" s="2"/>
    </x:row>
    <x:row r="94" ht="23" customHeight="1">
      <x:c r="A94" s="2"/>
      <x:c r="B94" s="2"/>
      <x:c r="C94" s="2"/>
      <x:c r="D94" s="2"/>
    </x:row>
    <x:row r="95" ht="23" customHeight="1">
      <x:c r="A95" s="2"/>
      <x:c r="B95" s="2"/>
      <x:c r="C95" s="2"/>
      <x:c r="D95" s="2"/>
    </x:row>
    <x:row r="96" ht="23" customHeight="1">
      <x:c r="A96" s="2"/>
      <x:c r="B96" s="2"/>
      <x:c r="C96" s="2"/>
      <x:c r="D96" s="2"/>
    </x:row>
    <x:row r="97" ht="23" customHeight="1">
      <x:c r="A97" s="2"/>
      <x:c r="B97" s="2"/>
      <x:c r="C97" s="2"/>
      <x:c r="D97" s="2"/>
    </x:row>
    <x:row r="98" ht="23" customHeight="1">
      <x:c r="A98" s="2"/>
      <x:c r="B98" s="2"/>
      <x:c r="C98" s="2"/>
      <x:c r="D98" s="2"/>
    </x:row>
    <x:row r="99" ht="23" customHeight="1">
      <x:c r="A99" s="2"/>
      <x:c r="B99" s="2"/>
      <x:c r="C99" s="2"/>
      <x:c r="D99" s="2"/>
    </x:row>
    <x:row r="100" ht="23" customHeight="1">
      <x:c r="A100" s="2"/>
      <x:c r="B100" s="2"/>
      <x:c r="C100" s="2"/>
      <x:c r="D100" s="2"/>
    </x:row>
    <x:row r="101" ht="23" customHeight="1">
      <x:c r="A101" s="2"/>
      <x:c r="B101" s="2"/>
      <x:c r="C101" s="2"/>
      <x:c r="D101" s="2"/>
    </x:row>
    <x:row r="102" ht="23" customHeight="1">
      <x:c r="A102" s="2"/>
      <x:c r="B102" s="2"/>
      <x:c r="C102" s="2"/>
      <x:c r="D102" s="2"/>
    </x:row>
    <x:row r="103" ht="23" customHeight="1">
      <x:c r="A103" s="2"/>
      <x:c r="B103" s="2"/>
      <x:c r="C103" s="2"/>
      <x:c r="D103" s="2"/>
    </x:row>
    <x:row r="104" ht="23" customHeight="1">
      <x:c r="A104" s="2"/>
      <x:c r="B104" s="2"/>
      <x:c r="C104" s="2"/>
      <x:c r="D104" s="2"/>
    </x:row>
    <x:row r="105" ht="23" customHeight="1">
      <x:c r="A105" s="2"/>
      <x:c r="B105" s="2"/>
      <x:c r="C105" s="2"/>
      <x:c r="D105" s="2"/>
    </x:row>
    <x:row r="106" ht="23" customHeight="1">
      <x:c r="A106" s="2"/>
      <x:c r="B106" s="2"/>
      <x:c r="C106" s="2"/>
      <x:c r="D106" s="2"/>
    </x:row>
    <x:row r="107" ht="23" customHeight="1">
      <x:c r="A107" s="2"/>
      <x:c r="B107" s="2"/>
      <x:c r="C107" s="2"/>
      <x:c r="D107" s="2"/>
    </x:row>
    <x:row r="108" ht="23" customHeight="1">
      <x:c r="A108" s="2"/>
      <x:c r="B108" s="2"/>
      <x:c r="C108" s="2"/>
      <x:c r="D108" s="2"/>
    </x:row>
    <x:row r="109" ht="23" customHeight="1">
      <x:c r="A109" s="2"/>
      <x:c r="B109" s="2"/>
      <x:c r="C109" s="2"/>
      <x:c r="D109" s="2"/>
    </x:row>
    <x:row r="110" ht="23" customHeight="1">
      <x:c r="A110" s="2"/>
      <x:c r="B110" s="2"/>
      <x:c r="C110" s="2"/>
      <x:c r="D110" s="2"/>
    </x:row>
    <x:row r="111" ht="23" customHeight="1">
      <x:c r="A111" s="2"/>
      <x:c r="B111" s="2"/>
      <x:c r="C111" s="2"/>
      <x:c r="D111" s="2"/>
    </x:row>
    <x:row r="112" ht="23" customHeight="1">
      <x:c r="A112" s="2"/>
      <x:c r="B112" s="2"/>
      <x:c r="C112" s="2"/>
      <x:c r="D112" s="2"/>
    </x:row>
    <x:row r="113" ht="23" customHeight="1">
      <x:c r="A113" s="2"/>
      <x:c r="B113" s="2"/>
      <x:c r="C113" s="2"/>
      <x:c r="D113" s="2"/>
    </x:row>
    <x:row r="114" ht="23" customHeight="1">
      <x:c r="A114" s="2"/>
      <x:c r="B114" s="2"/>
      <x:c r="C114" s="2"/>
      <x:c r="D114" s="2"/>
    </x:row>
    <x:row r="115" ht="23" customHeight="1">
      <x:c r="A115" s="2"/>
      <x:c r="B115" s="2"/>
      <x:c r="C115" s="2"/>
      <x:c r="D115" s="2"/>
    </x:row>
    <x:row r="116" ht="23" customHeight="1">
      <x:c r="A116" s="2"/>
      <x:c r="B116" s="2"/>
      <x:c r="C116" s="2"/>
      <x:c r="D116" s="2"/>
    </x:row>
    <x:row r="117" ht="23" customHeight="1">
      <x:c r="A117" s="2"/>
      <x:c r="B117" s="2"/>
      <x:c r="C117" s="2"/>
      <x:c r="D117" s="2"/>
    </x:row>
    <x:row r="118" ht="23" customHeight="1">
      <x:c r="A118" s="2"/>
      <x:c r="B118" s="2"/>
      <x:c r="C118" s="2"/>
      <x:c r="D118" s="2"/>
    </x:row>
    <x:row r="119" ht="23" customHeight="1">
      <x:c r="A119" s="2"/>
      <x:c r="B119" s="2"/>
      <x:c r="C119" s="2"/>
      <x:c r="D119" s="2"/>
    </x:row>
    <x:row r="120" ht="23" customHeight="1">
      <x:c r="A120" s="2"/>
      <x:c r="B120" s="2"/>
      <x:c r="C120" s="2"/>
      <x:c r="D120" s="2"/>
    </x:row>
    <x:row r="121" ht="23" customHeight="1">
      <x:c r="A121" s="2"/>
      <x:c r="B121" s="2"/>
      <x:c r="C121" s="2"/>
      <x:c r="D121" s="2"/>
    </x:row>
    <x:row r="122" ht="23" customHeight="1">
      <x:c r="A122" s="2"/>
      <x:c r="B122" s="2"/>
      <x:c r="C122" s="2"/>
      <x:c r="D122" s="2"/>
    </x:row>
    <x:row r="123" ht="23" customHeight="1">
      <x:c r="A123" s="2"/>
      <x:c r="B123" s="2"/>
      <x:c r="C123" s="2"/>
      <x:c r="D123" s="2"/>
    </x:row>
    <x:row r="124" ht="23" customHeight="1">
      <x:c r="A124" s="2"/>
      <x:c r="B124" s="2"/>
      <x:c r="C124" s="2"/>
      <x:c r="D124" s="2"/>
    </x:row>
    <x:row r="125" ht="23" customHeight="1">
      <x:c r="A125" s="2"/>
      <x:c r="B125" s="2"/>
      <x:c r="C125" s="2"/>
      <x:c r="D125" s="2"/>
    </x:row>
    <x:row r="126" ht="23" customHeight="1">
      <x:c r="A126" s="2"/>
      <x:c r="B126" s="2"/>
      <x:c r="C126" s="2"/>
      <x:c r="D126" s="2"/>
    </x:row>
    <x:row r="127" ht="23" customHeight="1">
      <x:c r="A127" s="2"/>
      <x:c r="B127" s="2"/>
      <x:c r="C127" s="2"/>
      <x:c r="D127" s="2"/>
    </x:row>
    <x:row r="128" ht="23" customHeight="1">
      <x:c r="A128" s="2"/>
      <x:c r="B128" s="2"/>
      <x:c r="C128" s="2"/>
      <x:c r="D128" s="2"/>
    </x:row>
    <x:row r="129" ht="23" customHeight="1">
      <x:c r="A129" s="2"/>
      <x:c r="B129" s="2"/>
      <x:c r="C129" s="2"/>
      <x:c r="D129" s="2"/>
    </x:row>
    <x:row r="130" ht="23" customHeight="1">
      <x:c r="A130" s="2"/>
      <x:c r="B130" s="2"/>
      <x:c r="C130" s="2"/>
      <x:c r="D130" s="2"/>
    </x:row>
    <x:row r="131" ht="23" customHeight="1">
      <x:c r="A131" s="2"/>
      <x:c r="B131" s="2"/>
      <x:c r="C131" s="2"/>
      <x:c r="D131" s="2"/>
    </x:row>
    <x:row r="132" ht="23" customHeight="1">
      <x:c r="A132" s="2"/>
      <x:c r="B132" s="2"/>
      <x:c r="C132" s="2"/>
      <x:c r="D132" s="2"/>
    </x:row>
    <x:row r="133" ht="23" customHeight="1">
      <x:c r="A133" s="2"/>
      <x:c r="B133" s="2"/>
      <x:c r="C133" s="2"/>
      <x:c r="D133" s="2"/>
    </x:row>
    <x:row r="134" ht="23" customHeight="1">
      <x:c r="A134" s="2"/>
      <x:c r="B134" s="2"/>
      <x:c r="C134" s="2"/>
      <x:c r="D134" s="2"/>
    </x:row>
    <x:row r="135" ht="23" customHeight="1">
      <x:c r="A135" s="2"/>
      <x:c r="B135" s="2"/>
      <x:c r="C135" s="2"/>
      <x:c r="D135" s="2"/>
    </x:row>
    <x:row r="136" ht="23" customHeight="1">
      <x:c r="A136" s="2"/>
      <x:c r="B136" s="2"/>
      <x:c r="C136" s="2"/>
      <x:c r="D136" s="2"/>
    </x:row>
    <x:row r="137" ht="23" customHeight="1">
      <x:c r="A137" s="2"/>
      <x:c r="B137" s="2"/>
      <x:c r="C137" s="2"/>
      <x:c r="D137" s="2"/>
    </x:row>
    <x:row r="138" ht="23" customHeight="1">
      <x:c r="A138" s="2"/>
      <x:c r="B138" s="2"/>
      <x:c r="C138" s="2"/>
      <x:c r="D138" s="2"/>
    </x:row>
    <x:row r="139" ht="23" customHeight="1">
      <x:c r="A139" s="2"/>
      <x:c r="B139" s="2"/>
      <x:c r="C139" s="2"/>
      <x:c r="D139" s="2"/>
    </x:row>
    <x:row r="140" ht="23" customHeight="1">
      <x:c r="A140" s="2"/>
      <x:c r="B140" s="2"/>
      <x:c r="C140" s="2"/>
      <x:c r="D140" s="2"/>
    </x:row>
    <x:row r="141" ht="23" customHeight="1">
      <x:c r="A141" s="2"/>
      <x:c r="B141" s="2"/>
      <x:c r="C141" s="2"/>
      <x:c r="D141" s="2"/>
    </x:row>
    <x:row r="142" ht="23" customHeight="1">
      <x:c r="A142" s="2"/>
      <x:c r="B142" s="2"/>
      <x:c r="C142" s="2"/>
      <x:c r="D142" s="2"/>
    </x:row>
    <x:row r="143" ht="23" customHeight="1">
      <x:c r="A143" s="2"/>
      <x:c r="B143" s="2"/>
      <x:c r="C143" s="2"/>
      <x:c r="D143" s="2"/>
    </x:row>
    <x:row r="144" ht="23" customHeight="1">
      <x:c r="A144" s="2"/>
      <x:c r="B144" s="2"/>
      <x:c r="C144" s="2"/>
      <x:c r="D144" s="2"/>
    </x:row>
    <x:row r="145" ht="23" customHeight="1">
      <x:c r="A145" s="2"/>
      <x:c r="B145" s="2"/>
      <x:c r="C145" s="2"/>
      <x:c r="D145" s="2"/>
    </x:row>
    <x:row r="146" ht="23" customHeight="1">
      <x:c r="A146" s="2"/>
      <x:c r="B146" s="2"/>
      <x:c r="C146" s="2"/>
      <x:c r="D146" s="2"/>
    </x:row>
    <x:row r="147" ht="23" customHeight="1">
      <x:c r="A147" s="2"/>
      <x:c r="B147" s="2"/>
      <x:c r="C147" s="2"/>
      <x:c r="D147" s="2"/>
    </x:row>
    <x:row r="148" ht="23" customHeight="1">
      <x:c r="A148" s="2"/>
      <x:c r="B148" s="2"/>
      <x:c r="C148" s="2"/>
      <x:c r="D148" s="2"/>
    </x:row>
    <x:row r="149" ht="23" customHeight="1">
      <x:c r="A149" s="2"/>
      <x:c r="B149" s="2"/>
      <x:c r="C149" s="2"/>
      <x:c r="D149" s="2"/>
    </x:row>
    <x:row r="150" ht="23" customHeight="1">
      <x:c r="A150" s="2"/>
      <x:c r="B150" s="2"/>
      <x:c r="C150" s="2"/>
      <x:c r="D150" s="2"/>
    </x:row>
    <x:row r="151" ht="23" customHeight="1">
      <x:c r="A151" s="2"/>
      <x:c r="B151" s="2"/>
      <x:c r="C151" s="2"/>
      <x:c r="D151" s="2"/>
    </x:row>
    <x:row r="152" ht="23" customHeight="1">
      <x:c r="A152" s="2"/>
      <x:c r="B152" s="2"/>
      <x:c r="C152" s="2"/>
      <x:c r="D152" s="2"/>
    </x:row>
    <x:row r="153" ht="23" customHeight="1">
      <x:c r="A153" s="2"/>
      <x:c r="B153" s="2"/>
      <x:c r="C153" s="2"/>
      <x:c r="D153" s="2"/>
    </x:row>
    <x:row r="154" ht="23" customHeight="1">
      <x:c r="A154" s="2"/>
      <x:c r="B154" s="2"/>
      <x:c r="C154" s="2"/>
      <x:c r="D154" s="2"/>
    </x:row>
    <x:row r="155" ht="23" customHeight="1">
      <x:c r="A155" s="2"/>
      <x:c r="B155" s="2"/>
      <x:c r="C155" s="2"/>
      <x:c r="D155" s="2"/>
    </x:row>
    <x:row r="156" ht="23" customHeight="1">
      <x:c r="A156" s="2"/>
      <x:c r="B156" s="2"/>
      <x:c r="C156" s="2"/>
      <x:c r="D156" s="2"/>
    </x:row>
    <x:row r="157" ht="23" customHeight="1">
      <x:c r="A157" s="2"/>
      <x:c r="B157" s="2"/>
      <x:c r="C157" s="2"/>
      <x:c r="D157" s="2"/>
    </x:row>
    <x:row r="158" ht="23" customHeight="1">
      <x:c r="A158" s="2"/>
      <x:c r="B158" s="2"/>
      <x:c r="C158" s="2"/>
      <x:c r="D158" s="2"/>
    </x:row>
    <x:row r="159" ht="23" customHeight="1">
      <x:c r="A159" s="2"/>
      <x:c r="B159" s="2"/>
      <x:c r="C159" s="2"/>
      <x:c r="D159" s="2"/>
    </x:row>
    <x:row r="160" ht="23" customHeight="1">
      <x:c r="A160" s="2"/>
      <x:c r="B160" s="2"/>
      <x:c r="C160" s="2"/>
      <x:c r="D160" s="2"/>
    </x:row>
    <x:row r="161" ht="23" customHeight="1">
      <x:c r="A161" s="2"/>
      <x:c r="B161" s="2"/>
      <x:c r="C161" s="2"/>
      <x:c r="D161" s="2"/>
    </x:row>
    <x:row r="162" ht="23" customHeight="1">
      <x:c r="A162" s="2"/>
      <x:c r="B162" s="2"/>
      <x:c r="C162" s="2"/>
      <x:c r="D162" s="2"/>
    </x:row>
    <x:row r="163" ht="23" customHeight="1">
      <x:c r="A163" s="2"/>
      <x:c r="B163" s="2"/>
      <x:c r="C163" s="2"/>
      <x:c r="D163" s="2"/>
    </x:row>
    <x:row r="164" ht="23" customHeight="1">
      <x:c r="A164" s="2"/>
      <x:c r="B164" s="2"/>
      <x:c r="C164" s="2"/>
      <x:c r="D164" s="2"/>
    </x:row>
    <x:row r="165" ht="23" customHeight="1">
      <x:c r="A165" s="2"/>
      <x:c r="B165" s="2"/>
      <x:c r="C165" s="2"/>
      <x:c r="D165" s="2"/>
    </x:row>
    <x:row r="166" ht="23" customHeight="1">
      <x:c r="A166" s="2"/>
      <x:c r="B166" s="2"/>
      <x:c r="C166" s="2"/>
      <x:c r="D166" s="2"/>
    </x:row>
    <x:row r="167" ht="23" customHeight="1">
      <x:c r="A167" s="2"/>
      <x:c r="B167" s="2"/>
      <x:c r="C167" s="2"/>
      <x:c r="D167" s="2"/>
    </x:row>
    <x:row r="168" ht="23" customHeight="1">
      <x:c r="A168" s="2"/>
      <x:c r="B168" s="2"/>
      <x:c r="C168" s="2"/>
      <x:c r="D168" s="2"/>
    </x:row>
    <x:row r="169" ht="23" customHeight="1">
      <x:c r="A169" s="2"/>
      <x:c r="B169" s="2"/>
      <x:c r="C169" s="2"/>
      <x:c r="D169" s="2"/>
    </x:row>
    <x:row r="170" ht="23" customHeight="1">
      <x:c r="A170" s="2"/>
      <x:c r="B170" s="2"/>
      <x:c r="C170" s="2"/>
      <x:c r="D170" s="2"/>
    </x:row>
    <x:row r="171" ht="23" customHeight="1">
      <x:c r="A171" s="2"/>
      <x:c r="B171" s="2"/>
      <x:c r="C171" s="2"/>
      <x:c r="D171" s="2"/>
    </x:row>
    <x:row r="172" ht="23" customHeight="1">
      <x:c r="A172" s="2"/>
      <x:c r="B172" s="2"/>
      <x:c r="C172" s="2"/>
      <x:c r="D172" s="2"/>
    </x:row>
    <x:row r="173" ht="23" customHeight="1">
      <x:c r="A173" s="2"/>
      <x:c r="B173" s="2"/>
      <x:c r="C173" s="2"/>
      <x:c r="D173" s="2"/>
    </x:row>
    <x:row r="174" ht="23" customHeight="1">
      <x:c r="A174" s="2"/>
      <x:c r="B174" s="2"/>
      <x:c r="C174" s="2"/>
      <x:c r="D174" s="2"/>
    </x:row>
    <x:row r="175" ht="23" customHeight="1">
      <x:c r="A175" s="2"/>
      <x:c r="B175" s="2"/>
      <x:c r="C175" s="2"/>
      <x:c r="D175" s="2"/>
    </x:row>
    <x:row r="176" ht="23" customHeight="1">
      <x:c r="A176" s="2"/>
      <x:c r="B176" s="2"/>
      <x:c r="C176" s="2"/>
      <x:c r="D176" s="2"/>
    </x:row>
    <x:row r="177" ht="23" customHeight="1">
      <x:c r="A177" s="2"/>
      <x:c r="B177" s="2"/>
      <x:c r="C177" s="2"/>
      <x:c r="D177" s="2"/>
    </x:row>
    <x:row r="178" ht="23" customHeight="1">
      <x:c r="A178" s="2"/>
      <x:c r="B178" s="2"/>
      <x:c r="C178" s="2"/>
      <x:c r="D178" s="2"/>
    </x:row>
    <x:row r="179" ht="23" customHeight="1">
      <x:c r="A179" s="2"/>
      <x:c r="B179" s="2"/>
      <x:c r="C179" s="2"/>
      <x:c r="D179" s="2"/>
    </x:row>
    <x:row r="180" ht="23" customHeight="1">
      <x:c r="A180" s="2"/>
      <x:c r="B180" s="2"/>
      <x:c r="C180" s="2"/>
      <x:c r="D180" s="2"/>
    </x:row>
    <x:row r="181" ht="23" customHeight="1">
      <x:c r="A181" s="2"/>
      <x:c r="B181" s="2"/>
      <x:c r="C181" s="2"/>
      <x:c r="D181" s="2"/>
    </x:row>
    <x:row r="182" ht="23" customHeight="1">
      <x:c r="A182" s="2"/>
      <x:c r="B182" s="2"/>
      <x:c r="C182" s="2"/>
      <x:c r="D182" s="2"/>
    </x:row>
    <x:row r="183" ht="23" customHeight="1">
      <x:c r="A183" s="2"/>
      <x:c r="B183" s="2"/>
      <x:c r="C183" s="2"/>
      <x:c r="D183" s="2"/>
    </x:row>
    <x:row r="184" ht="23" customHeight="1">
      <x:c r="A184" s="2"/>
      <x:c r="B184" s="2"/>
      <x:c r="C184" s="2"/>
      <x:c r="D184" s="2"/>
    </x:row>
    <x:row r="185" ht="23" customHeight="1">
      <x:c r="A185" s="2"/>
      <x:c r="B185" s="2"/>
      <x:c r="C185" s="2"/>
      <x:c r="D185" s="2"/>
    </x:row>
    <x:row r="186" ht="23" customHeight="1">
      <x:c r="A186" s="2"/>
      <x:c r="B186" s="2"/>
      <x:c r="C186" s="2"/>
      <x:c r="D186" s="2"/>
    </x:row>
    <x:row r="187" ht="23" customHeight="1">
      <x:c r="A187" s="2"/>
      <x:c r="B187" s="2"/>
      <x:c r="C187" s="2"/>
      <x:c r="D187" s="2"/>
    </x:row>
    <x:row r="188" ht="23" customHeight="1">
      <x:c r="A188" s="2"/>
      <x:c r="B188" s="2"/>
      <x:c r="C188" s="2"/>
      <x:c r="D188" s="2"/>
    </x:row>
    <x:row r="189" ht="23" customHeight="1">
      <x:c r="A189" s="2"/>
      <x:c r="B189" s="2"/>
      <x:c r="C189" s="2"/>
      <x:c r="D189" s="2"/>
    </x:row>
    <x:row r="190" ht="23" customHeight="1">
      <x:c r="A190" s="2"/>
      <x:c r="B190" s="2"/>
      <x:c r="C190" s="2"/>
      <x:c r="D190" s="2"/>
    </x:row>
    <x:row r="191" ht="23" customHeight="1">
      <x:c r="A191" s="2"/>
      <x:c r="B191" s="2"/>
      <x:c r="C191" s="2"/>
      <x:c r="D191" s="2"/>
    </x:row>
    <x:row r="192" ht="23" customHeight="1">
      <x:c r="A192" s="2"/>
      <x:c r="B192" s="2"/>
      <x:c r="C192" s="2"/>
      <x:c r="D192" s="2"/>
    </x:row>
    <x:row r="193" ht="23" customHeight="1">
      <x:c r="A193" s="2"/>
      <x:c r="B193" s="2"/>
      <x:c r="C193" s="2"/>
      <x:c r="D193" s="2"/>
    </x:row>
    <x:row r="194" ht="23" customHeight="1">
      <x:c r="A194" s="2"/>
      <x:c r="B194" s="2"/>
      <x:c r="C194" s="2"/>
      <x:c r="D194" s="2"/>
    </x:row>
    <x:row r="195" ht="23" customHeight="1">
      <x:c r="A195" s="2"/>
      <x:c r="B195" s="2"/>
      <x:c r="C195" s="2"/>
      <x:c r="D195" s="2"/>
    </x:row>
    <x:row r="196" ht="23" customHeight="1">
      <x:c r="A196" s="2"/>
      <x:c r="B196" s="2"/>
      <x:c r="C196" s="2"/>
      <x:c r="D196" s="2"/>
    </x:row>
    <x:row r="197" ht="23" customHeight="1">
      <x:c r="A197" s="2"/>
      <x:c r="B197" s="2"/>
      <x:c r="C197" s="2"/>
      <x:c r="D197" s="2"/>
    </x:row>
    <x:row r="198" ht="23" customHeight="1">
      <x:c r="A198" s="2"/>
      <x:c r="B198" s="2"/>
      <x:c r="C198" s="2"/>
      <x:c r="D198" s="2"/>
    </x:row>
    <x:row r="199" ht="23" customHeight="1">
      <x:c r="A199" s="2"/>
      <x:c r="B199" s="2"/>
      <x:c r="C199" s="2"/>
      <x:c r="D199" s="2"/>
    </x:row>
    <x:row r="200" ht="23" customHeight="1">
      <x:c r="A200" s="2"/>
      <x:c r="B200" s="2"/>
      <x:c r="C200" s="2"/>
      <x:c r="D200" s="2"/>
    </x:row>
    <x:row r="201" ht="23" customHeight="1">
      <x:c r="A201" s="2"/>
      <x:c r="B201" s="2"/>
      <x:c r="C201" s="2"/>
      <x:c r="D201" s="2"/>
    </x:row>
    <x:row r="202" ht="23" customHeight="1">
      <x:c r="A202" s="2"/>
      <x:c r="B202" s="2"/>
      <x:c r="C202" s="2"/>
      <x:c r="D202" s="2"/>
    </x:row>
    <x:row r="203" ht="23" customHeight="1">
      <x:c r="A203" s="2"/>
      <x:c r="B203" s="2"/>
      <x:c r="C203" s="2"/>
      <x:c r="D203" s="2"/>
    </x:row>
    <x:row r="204" ht="23" customHeight="1">
      <x:c r="A204" s="2"/>
      <x:c r="B204" s="2"/>
      <x:c r="C204" s="2"/>
      <x:c r="D204" s="2"/>
    </x:row>
    <x:row r="205" ht="23" customHeight="1">
      <x:c r="A205" s="2"/>
      <x:c r="B205" s="2"/>
      <x:c r="C205" s="2"/>
      <x:c r="D205" s="2"/>
    </x:row>
    <x:row r="206" ht="23" customHeight="1">
      <x:c r="A206" s="2"/>
      <x:c r="B206" s="2"/>
      <x:c r="C206" s="2"/>
      <x:c r="D206" s="2"/>
    </x:row>
    <x:row r="207" ht="23" customHeight="1">
      <x:c r="A207" s="2"/>
      <x:c r="B207" s="2"/>
      <x:c r="C207" s="2"/>
      <x:c r="D207" s="2"/>
    </x:row>
    <x:row r="208" ht="23" customHeight="1">
      <x:c r="A208" s="2"/>
      <x:c r="B208" s="2"/>
      <x:c r="C208" s="2"/>
      <x:c r="D208" s="2"/>
    </x:row>
    <x:row r="209" ht="23" customHeight="1">
      <x:c r="A209" s="2"/>
      <x:c r="B209" s="2"/>
      <x:c r="C209" s="2"/>
      <x:c r="D209" s="2"/>
    </x:row>
    <x:row r="210" ht="23" customHeight="1">
      <x:c r="A210" s="2"/>
      <x:c r="B210" s="2"/>
      <x:c r="C210" s="2"/>
      <x:c r="D210" s="2"/>
    </x:row>
    <x:row r="211" ht="23" customHeight="1">
      <x:c r="A211" s="2"/>
      <x:c r="B211" s="2"/>
      <x:c r="C211" s="2"/>
      <x:c r="D211" s="2"/>
    </x:row>
    <x:row r="212" ht="23" customHeight="1">
      <x:c r="A212" s="2"/>
      <x:c r="B212" s="2"/>
      <x:c r="C212" s="2"/>
      <x:c r="D212" s="2"/>
    </x:row>
    <x:row r="213" ht="23" customHeight="1">
      <x:c r="A213" s="2"/>
      <x:c r="B213" s="2"/>
      <x:c r="C213" s="2"/>
      <x:c r="D213" s="2"/>
    </x:row>
    <x:row r="214" ht="23" customHeight="1">
      <x:c r="A214" s="2"/>
      <x:c r="B214" s="2"/>
      <x:c r="C214" s="2"/>
      <x:c r="D214" s="2"/>
    </x:row>
    <x:row r="215" ht="23" customHeight="1">
      <x:c r="A215" s="2"/>
      <x:c r="B215" s="2"/>
      <x:c r="C215" s="2"/>
      <x:c r="D215" s="2"/>
    </x:row>
    <x:row r="216" ht="23" customHeight="1">
      <x:c r="A216" s="2"/>
      <x:c r="B216" s="2"/>
      <x:c r="C216" s="2"/>
      <x:c r="D216" s="2"/>
    </x:row>
    <x:row r="217" ht="23" customHeight="1">
      <x:c r="A217" s="2"/>
      <x:c r="B217" s="2"/>
      <x:c r="C217" s="2"/>
      <x:c r="D217" s="2"/>
    </x:row>
    <x:row r="218" ht="23" customHeight="1">
      <x:c r="A218" s="2"/>
      <x:c r="B218" s="2"/>
      <x:c r="C218" s="2"/>
      <x:c r="D218" s="2"/>
    </x:row>
    <x:row r="219" ht="23" customHeight="1">
      <x:c r="A219" s="2"/>
      <x:c r="B219" s="2"/>
      <x:c r="C219" s="2"/>
      <x:c r="D219" s="2"/>
    </x:row>
    <x:row r="220" ht="23" customHeight="1">
      <x:c r="A220" s="2"/>
      <x:c r="B220" s="2"/>
      <x:c r="C220" s="2"/>
      <x:c r="D220" s="2"/>
    </x:row>
    <x:row r="221" ht="23" customHeight="1">
      <x:c r="A221" s="2"/>
      <x:c r="B221" s="2"/>
      <x:c r="C221" s="2"/>
      <x:c r="D221" s="2"/>
    </x:row>
    <x:row r="222" ht="23" customHeight="1">
      <x:c r="A222" s="2"/>
      <x:c r="B222" s="2"/>
      <x:c r="C222" s="2"/>
      <x:c r="D222" s="2"/>
    </x:row>
    <x:row r="223" ht="23" customHeight="1">
      <x:c r="A223" s="2"/>
      <x:c r="B223" s="2"/>
      <x:c r="C223" s="2"/>
      <x:c r="D223" s="2"/>
    </x:row>
    <x:row r="224" ht="23" customHeight="1">
      <x:c r="A224" s="2"/>
      <x:c r="B224" s="2"/>
      <x:c r="C224" s="2"/>
      <x:c r="D224" s="2"/>
    </x:row>
    <x:row r="225" ht="23" customHeight="1">
      <x:c r="A225" s="2"/>
      <x:c r="B225" s="2"/>
      <x:c r="C225" s="2"/>
      <x:c r="D225" s="2"/>
    </x:row>
    <x:row r="226" ht="23" customHeight="1">
      <x:c r="A226" s="2"/>
      <x:c r="B226" s="2"/>
      <x:c r="C226" s="2"/>
      <x:c r="D226" s="2"/>
    </x:row>
    <x:row r="227" ht="23" customHeight="1">
      <x:c r="A227" s="2"/>
      <x:c r="B227" s="2"/>
      <x:c r="C227" s="2"/>
      <x:c r="D227" s="2"/>
    </x:row>
    <x:row r="228" ht="23" customHeight="1">
      <x:c r="A228" s="2"/>
      <x:c r="B228" s="2"/>
      <x:c r="C228" s="2"/>
      <x:c r="D228" s="2"/>
    </x:row>
    <x:row r="229" ht="23" customHeight="1">
      <x:c r="A229" s="2"/>
      <x:c r="B229" s="2"/>
      <x:c r="C229" s="2"/>
      <x:c r="D229" s="2"/>
    </x:row>
    <x:row r="230" ht="23" customHeight="1">
      <x:c r="A230" s="2"/>
      <x:c r="B230" s="2"/>
      <x:c r="C230" s="2"/>
      <x:c r="D230" s="2"/>
    </x:row>
    <x:row r="231" ht="23" customHeight="1">
      <x:c r="A231" s="2"/>
      <x:c r="B231" s="2"/>
      <x:c r="C231" s="2"/>
      <x:c r="D231" s="2"/>
    </x:row>
    <x:row r="232" ht="23" customHeight="1">
      <x:c r="A232" s="2"/>
      <x:c r="B232" s="2"/>
      <x:c r="C232" s="2"/>
      <x:c r="D232" s="2"/>
    </x:row>
    <x:row r="233" ht="23" customHeight="1">
      <x:c r="A233" s="2"/>
      <x:c r="B233" s="2"/>
      <x:c r="C233" s="2"/>
      <x:c r="D233" s="2"/>
    </x:row>
    <x:row r="234" ht="23" customHeight="1">
      <x:c r="A234" s="2"/>
      <x:c r="B234" s="2"/>
      <x:c r="C234" s="2"/>
      <x:c r="D234" s="2"/>
    </x:row>
    <x:row r="235" ht="23" customHeight="1">
      <x:c r="A235" s="2"/>
      <x:c r="B235" s="2"/>
      <x:c r="C235" s="2"/>
      <x:c r="D235" s="2"/>
    </x:row>
    <x:row r="236" ht="23" customHeight="1">
      <x:c r="A236" s="2"/>
      <x:c r="B236" s="2"/>
      <x:c r="C236" s="2"/>
      <x:c r="D236" s="2"/>
    </x:row>
    <x:row r="237" ht="23" customHeight="1">
      <x:c r="A237" s="2"/>
      <x:c r="B237" s="2"/>
      <x:c r="C237" s="2"/>
      <x:c r="D237" s="2"/>
    </x:row>
    <x:row r="238" ht="23" customHeight="1">
      <x:c r="A238" s="2"/>
      <x:c r="B238" s="2"/>
      <x:c r="C238" s="2"/>
      <x:c r="D238" s="2"/>
    </x:row>
    <x:row r="239" ht="23" customHeight="1">
      <x:c r="A239" s="2"/>
      <x:c r="B239" s="2"/>
      <x:c r="C239" s="2"/>
      <x:c r="D239" s="2"/>
    </x:row>
    <x:row r="240" ht="23" customHeight="1">
      <x:c r="A240" s="2"/>
      <x:c r="B240" s="2"/>
      <x:c r="C240" s="2"/>
      <x:c r="D240" s="2"/>
    </x:row>
    <x:row r="241" ht="23" customHeight="1">
      <x:c r="A241" s="2"/>
      <x:c r="B241" s="2"/>
      <x:c r="C241" s="2"/>
      <x:c r="D241" s="2"/>
    </x:row>
    <x:row r="242" ht="23" customHeight="1">
      <x:c r="A242" s="2"/>
      <x:c r="B242" s="2"/>
      <x:c r="C242" s="2"/>
      <x:c r="D242" s="2"/>
    </x:row>
    <x:row r="243" ht="23" customHeight="1">
      <x:c r="A243" s="2"/>
      <x:c r="B243" s="2"/>
      <x:c r="C243" s="2"/>
      <x:c r="D243" s="2"/>
    </x:row>
    <x:row r="244" ht="23" customHeight="1">
      <x:c r="A244" s="2"/>
      <x:c r="B244" s="2"/>
      <x:c r="C244" s="2"/>
      <x:c r="D244" s="2"/>
    </x:row>
    <x:row r="245" ht="23" customHeight="1">
      <x:c r="A245" s="2"/>
      <x:c r="B245" s="2"/>
      <x:c r="C245" s="2"/>
      <x:c r="D245" s="2"/>
    </x:row>
    <x:row r="246" ht="23" customHeight="1">
      <x:c r="A246" s="2"/>
      <x:c r="B246" s="2"/>
      <x:c r="C246" s="2"/>
      <x:c r="D246" s="2"/>
    </x:row>
    <x:row r="247" ht="23" customHeight="1">
      <x:c r="A247" s="2"/>
      <x:c r="B247" s="2"/>
      <x:c r="C247" s="2"/>
      <x:c r="D247" s="2"/>
    </x:row>
    <x:row r="248" ht="23" customHeight="1">
      <x:c r="A248" s="2"/>
      <x:c r="B248" s="2"/>
      <x:c r="C248" s="2"/>
      <x:c r="D248" s="2"/>
    </x:row>
    <x:row r="249" ht="23" customHeight="1">
      <x:c r="A249" s="2"/>
      <x:c r="B249" s="2"/>
      <x:c r="C249" s="2"/>
      <x:c r="D249" s="2"/>
    </x:row>
    <x:row r="250" ht="23" customHeight="1">
      <x:c r="A250" s="2"/>
      <x:c r="B250" s="2"/>
      <x:c r="C250" s="2"/>
      <x:c r="D250" s="2"/>
    </x:row>
    <x:row r="251" ht="23" customHeight="1">
      <x:c r="A251" s="2"/>
      <x:c r="B251" s="2"/>
      <x:c r="C251" s="2"/>
      <x:c r="D251" s="2"/>
    </x:row>
    <x:row r="252" ht="23" customHeight="1">
      <x:c r="A252" s="2"/>
      <x:c r="B252" s="2"/>
      <x:c r="C252" s="2"/>
      <x:c r="D252" s="2"/>
    </x:row>
    <x:row r="253" ht="23" customHeight="1">
      <x:c r="A253" s="2"/>
      <x:c r="B253" s="2"/>
      <x:c r="C253" s="2"/>
      <x:c r="D253" s="2"/>
    </x:row>
    <x:row r="254" ht="23" customHeight="1">
      <x:c r="A254" s="2"/>
      <x:c r="B254" s="2"/>
      <x:c r="C254" s="2"/>
      <x:c r="D254" s="2"/>
    </x:row>
    <x:row r="255" ht="23" customHeight="1">
      <x:c r="A255" s="2"/>
      <x:c r="B255" s="2"/>
      <x:c r="C255" s="2"/>
      <x:c r="D255" s="2"/>
    </x:row>
    <x:row r="256" ht="23" customHeight="1">
      <x:c r="A256" s="2"/>
      <x:c r="B256" s="2"/>
      <x:c r="C256" s="2"/>
      <x:c r="D256" s="2"/>
    </x:row>
    <x:row r="257" ht="23" customHeight="1">
      <x:c r="A257" s="2"/>
      <x:c r="B257" s="2"/>
      <x:c r="C257" s="2"/>
      <x:c r="D257" s="2"/>
    </x:row>
    <x:row r="258" ht="23" customHeight="1">
      <x:c r="A258" s="2"/>
      <x:c r="B258" s="2"/>
      <x:c r="C258" s="2"/>
      <x:c r="D258" s="2"/>
    </x:row>
    <x:row r="259" ht="23" customHeight="1">
      <x:c r="A259" s="2"/>
      <x:c r="B259" s="2"/>
      <x:c r="C259" s="2"/>
      <x:c r="D259" s="2"/>
    </x:row>
    <x:row r="260" ht="23" customHeight="1">
      <x:c r="A260" s="2"/>
      <x:c r="B260" s="2"/>
      <x:c r="C260" s="2"/>
      <x:c r="D260" s="2"/>
    </x:row>
    <x:row r="261" ht="23" customHeight="1">
      <x:c r="A261" s="2"/>
      <x:c r="B261" s="2"/>
      <x:c r="C261" s="2"/>
      <x:c r="D261" s="2"/>
    </x:row>
    <x:row r="262" ht="23" customHeight="1">
      <x:c r="A262" s="2"/>
      <x:c r="B262" s="2"/>
      <x:c r="C262" s="2"/>
      <x:c r="D262" s="2"/>
    </x:row>
    <x:row r="263" ht="23" customHeight="1">
      <x:c r="A263" s="2"/>
      <x:c r="B263" s="2"/>
      <x:c r="C263" s="2"/>
      <x:c r="D263" s="2"/>
    </x:row>
    <x:row r="264" ht="23" customHeight="1">
      <x:c r="A264" s="2"/>
      <x:c r="B264" s="2"/>
      <x:c r="C264" s="2"/>
      <x:c r="D264" s="2"/>
    </x:row>
    <x:row r="265" ht="23" customHeight="1">
      <x:c r="A265" s="2"/>
      <x:c r="B265" s="2"/>
      <x:c r="C265" s="2"/>
      <x:c r="D265" s="2"/>
    </x:row>
    <x:row r="266" ht="23" customHeight="1">
      <x:c r="A266" s="2"/>
      <x:c r="B266" s="2"/>
      <x:c r="C266" s="2"/>
      <x:c r="D266" s="2"/>
    </x:row>
    <x:row r="267" ht="23" customHeight="1">
      <x:c r="A267" s="2"/>
      <x:c r="B267" s="2"/>
      <x:c r="C267" s="2"/>
      <x:c r="D267" s="2"/>
    </x:row>
    <x:row r="268" ht="23" customHeight="1">
      <x:c r="A268" s="2"/>
      <x:c r="B268" s="2"/>
      <x:c r="C268" s="2"/>
      <x:c r="D268" s="2"/>
    </x:row>
    <x:row r="269" ht="23" customHeight="1">
      <x:c r="A269" s="2"/>
      <x:c r="B269" s="2"/>
      <x:c r="C269" s="2"/>
      <x:c r="D269" s="2"/>
    </x:row>
    <x:row r="270" ht="23" customHeight="1">
      <x:c r="A270" s="2"/>
      <x:c r="B270" s="2"/>
      <x:c r="C270" s="2"/>
      <x:c r="D270" s="2"/>
    </x:row>
    <x:row r="271" ht="23" customHeight="1">
      <x:c r="A271" s="2"/>
      <x:c r="B271" s="2"/>
      <x:c r="C271" s="2"/>
      <x:c r="D271" s="2"/>
    </x:row>
    <x:row r="272" ht="23" customHeight="1">
      <x:c r="A272" s="2"/>
      <x:c r="B272" s="2"/>
      <x:c r="C272" s="2"/>
      <x:c r="D272" s="2"/>
    </x:row>
    <x:row r="273" ht="23" customHeight="1">
      <x:c r="A273" s="2"/>
      <x:c r="B273" s="2"/>
      <x:c r="C273" s="2"/>
      <x:c r="D273" s="2"/>
    </x:row>
    <x:row r="274" ht="23" customHeight="1">
      <x:c r="A274" s="2"/>
      <x:c r="B274" s="2"/>
      <x:c r="C274" s="2"/>
      <x:c r="D274" s="2"/>
    </x:row>
    <x:row r="275" ht="23" customHeight="1">
      <x:c r="A275" s="2"/>
      <x:c r="B275" s="2"/>
      <x:c r="C275" s="2"/>
      <x:c r="D275" s="2"/>
    </x:row>
    <x:row r="276" ht="23" customHeight="1">
      <x:c r="A276" s="2"/>
      <x:c r="B276" s="2"/>
      <x:c r="C276" s="2"/>
      <x:c r="D276" s="2"/>
    </x:row>
    <x:row r="277" ht="23" customHeight="1">
      <x:c r="A277" s="2"/>
      <x:c r="B277" s="2"/>
      <x:c r="C277" s="2"/>
      <x:c r="D277" s="2"/>
    </x:row>
    <x:row r="278" ht="23" customHeight="1">
      <x:c r="A278" s="2"/>
      <x:c r="B278" s="2"/>
      <x:c r="C278" s="2"/>
      <x:c r="D278" s="2"/>
    </x:row>
    <x:row r="279" ht="23" customHeight="1">
      <x:c r="A279" s="2"/>
      <x:c r="B279" s="2"/>
      <x:c r="C279" s="2"/>
      <x:c r="D279" s="2"/>
    </x:row>
    <x:row r="280" ht="23" customHeight="1">
      <x:c r="A280" s="2"/>
      <x:c r="B280" s="2"/>
      <x:c r="C280" s="2"/>
      <x:c r="D280" s="2"/>
    </x:row>
    <x:row r="281" ht="23" customHeight="1">
      <x:c r="A281" s="2"/>
      <x:c r="B281" s="2"/>
      <x:c r="C281" s="2"/>
      <x:c r="D281" s="2"/>
    </x:row>
    <x:row r="282" ht="23" customHeight="1">
      <x:c r="A282" s="2"/>
      <x:c r="B282" s="2"/>
      <x:c r="C282" s="2"/>
      <x:c r="D282" s="2"/>
    </x:row>
    <x:row r="283" ht="23" customHeight="1">
      <x:c r="A283" s="2"/>
      <x:c r="B283" s="2"/>
      <x:c r="C283" s="2"/>
      <x:c r="D283" s="2"/>
    </x:row>
    <x:row r="284" ht="23" customHeight="1">
      <x:c r="A284" s="2"/>
      <x:c r="B284" s="2"/>
      <x:c r="C284" s="2"/>
      <x:c r="D284" s="2"/>
    </x:row>
    <x:row r="285" ht="23" customHeight="1">
      <x:c r="A285" s="2"/>
      <x:c r="B285" s="2"/>
      <x:c r="C285" s="2"/>
      <x:c r="D285" s="2"/>
    </x:row>
    <x:row r="286" ht="23" customHeight="1">
      <x:c r="A286" s="2"/>
      <x:c r="B286" s="2"/>
      <x:c r="C286" s="2"/>
      <x:c r="D286" s="2"/>
    </x:row>
    <x:row r="287" ht="23" customHeight="1">
      <x:c r="A287" s="2"/>
      <x:c r="B287" s="2"/>
      <x:c r="C287" s="2"/>
      <x:c r="D287" s="2"/>
    </x:row>
    <x:row r="288" ht="23" customHeight="1">
      <x:c r="A288" s="2"/>
      <x:c r="B288" s="2"/>
      <x:c r="C288" s="2"/>
      <x:c r="D288" s="2"/>
    </x:row>
    <x:row r="289" ht="23" customHeight="1">
      <x:c r="A289" s="2"/>
      <x:c r="B289" s="2"/>
      <x:c r="C289" s="2"/>
      <x:c r="D289" s="2"/>
    </x:row>
    <x:row r="290" ht="23" customHeight="1">
      <x:c r="A290" s="2"/>
      <x:c r="B290" s="2"/>
      <x:c r="C290" s="2"/>
      <x:c r="D290" s="2"/>
    </x:row>
    <x:row r="291" ht="23" customHeight="1">
      <x:c r="A291" s="2"/>
      <x:c r="B291" s="2"/>
      <x:c r="C291" s="2"/>
      <x:c r="D291" s="2"/>
    </x:row>
    <x:row r="292" ht="23" customHeight="1">
      <x:c r="A292" s="2"/>
      <x:c r="B292" s="2"/>
      <x:c r="C292" s="2"/>
      <x:c r="D292" s="2"/>
    </x:row>
    <x:row r="293" ht="23" customHeight="1">
      <x:c r="A293" s="2"/>
      <x:c r="B293" s="2"/>
      <x:c r="C293" s="2"/>
      <x:c r="D293" s="2"/>
    </x:row>
    <x:row r="294" ht="23" customHeight="1">
      <x:c r="A294" s="2"/>
      <x:c r="B294" s="2"/>
      <x:c r="C294" s="2"/>
      <x:c r="D294" s="2"/>
    </x:row>
    <x:row r="295" ht="23" customHeight="1">
      <x:c r="A295" s="2"/>
      <x:c r="B295" s="2"/>
      <x:c r="C295" s="2"/>
      <x:c r="D295" s="2"/>
    </x:row>
    <x:row r="296" ht="23" customHeight="1">
      <x:c r="A296" s="2"/>
      <x:c r="B296" s="2"/>
      <x:c r="C296" s="2"/>
      <x:c r="D296" s="2"/>
    </x:row>
    <x:row r="297" ht="23" customHeight="1">
      <x:c r="A297" s="2"/>
      <x:c r="B297" s="2"/>
      <x:c r="C297" s="2"/>
      <x:c r="D297" s="2"/>
    </x:row>
    <x:row r="298" ht="23" customHeight="1">
      <x:c r="A298" s="2"/>
      <x:c r="B298" s="2"/>
      <x:c r="C298" s="2"/>
      <x:c r="D298" s="2"/>
    </x:row>
    <x:row r="299" ht="23" customHeight="1">
      <x:c r="A299" s="2"/>
      <x:c r="B299" s="2"/>
      <x:c r="C299" s="2"/>
      <x:c r="D299" s="2"/>
    </x:row>
    <x:row r="300" ht="23" customHeight="1">
      <x:c r="A300" s="2"/>
      <x:c r="B300" s="2"/>
      <x:c r="C300" s="2"/>
      <x:c r="D300" s="2"/>
    </x:row>
    <x:row r="301" ht="23" customHeight="1">
      <x:c r="A301" s="2"/>
      <x:c r="B301" s="2"/>
      <x:c r="C301" s="2"/>
      <x:c r="D301" s="2"/>
    </x:row>
    <x:row r="302" ht="23" customHeight="1">
      <x:c r="A302" s="2"/>
      <x:c r="B302" s="2"/>
      <x:c r="C302" s="2"/>
      <x:c r="D302" s="2"/>
    </x:row>
    <x:row r="303" ht="23" customHeight="1">
      <x:c r="A303" s="2"/>
      <x:c r="B303" s="2"/>
      <x:c r="C303" s="2"/>
      <x:c r="D303" s="2"/>
    </x:row>
    <x:row r="304" ht="23" customHeight="1">
      <x:c r="A304" s="2"/>
      <x:c r="B304" s="2"/>
      <x:c r="C304" s="2"/>
      <x:c r="D304" s="2"/>
    </x:row>
    <x:row r="305" ht="23" customHeight="1">
      <x:c r="A305" s="2"/>
      <x:c r="B305" s="2"/>
      <x:c r="C305" s="2"/>
      <x:c r="D305" s="2"/>
    </x:row>
    <x:row r="306" ht="23" customHeight="1">
      <x:c r="A306" s="2"/>
      <x:c r="B306" s="2"/>
      <x:c r="C306" s="2"/>
      <x:c r="D306" s="2"/>
    </x:row>
    <x:row r="307" ht="23" customHeight="1">
      <x:c r="A307" s="2"/>
      <x:c r="B307" s="2"/>
      <x:c r="C307" s="2"/>
      <x:c r="D307" s="2"/>
    </x:row>
    <x:row r="308" ht="23" customHeight="1">
      <x:c r="A308" s="2"/>
      <x:c r="B308" s="2"/>
      <x:c r="C308" s="2"/>
      <x:c r="D308" s="2"/>
    </x:row>
    <x:row r="309" ht="23" customHeight="1">
      <x:c r="A309" s="2"/>
      <x:c r="B309" s="2"/>
      <x:c r="C309" s="2"/>
      <x:c r="D309" s="2"/>
    </x:row>
    <x:row r="310" ht="23" customHeight="1">
      <x:c r="A310" s="2"/>
      <x:c r="B310" s="2"/>
      <x:c r="C310" s="2"/>
      <x:c r="D310" s="2"/>
    </x:row>
    <x:row r="311" ht="23" customHeight="1">
      <x:c r="A311" s="2"/>
      <x:c r="B311" s="2"/>
      <x:c r="C311" s="2"/>
      <x:c r="D311" s="2"/>
    </x:row>
    <x:row r="312" ht="23" customHeight="1">
      <x:c r="A312" s="2"/>
      <x:c r="B312" s="2"/>
      <x:c r="C312" s="2"/>
      <x:c r="D312" s="2"/>
    </x:row>
    <x:row r="313" ht="23" customHeight="1">
      <x:c r="A313" s="2"/>
      <x:c r="B313" s="2"/>
      <x:c r="C313" s="2"/>
      <x:c r="D313" s="2"/>
    </x:row>
    <x:row r="314" ht="23" customHeight="1">
      <x:c r="A314" s="2"/>
      <x:c r="B314" s="2"/>
      <x:c r="C314" s="2"/>
      <x:c r="D314" s="2"/>
    </x:row>
    <x:row r="315" ht="23" customHeight="1">
      <x:c r="A315" s="2"/>
      <x:c r="B315" s="2"/>
      <x:c r="C315" s="2"/>
      <x:c r="D315" s="2"/>
    </x:row>
    <x:row r="316" ht="23" customHeight="1">
      <x:c r="A316" s="2"/>
      <x:c r="B316" s="2"/>
      <x:c r="C316" s="2"/>
      <x:c r="D316" s="2"/>
    </x:row>
    <x:row r="317" ht="23" customHeight="1">
      <x:c r="A317" s="2"/>
      <x:c r="B317" s="2"/>
      <x:c r="C317" s="2"/>
      <x:c r="D317" s="2"/>
    </x:row>
    <x:row r="318" ht="23" customHeight="1">
      <x:c r="A318" s="2"/>
      <x:c r="B318" s="2"/>
      <x:c r="C318" s="2"/>
      <x:c r="D318" s="2"/>
    </x:row>
    <x:row r="319" ht="23" customHeight="1">
      <x:c r="A319" s="2"/>
      <x:c r="B319" s="2"/>
      <x:c r="C319" s="2"/>
      <x:c r="D319" s="2"/>
    </x:row>
    <x:row r="320" ht="23" customHeight="1">
      <x:c r="A320" s="2"/>
      <x:c r="B320" s="2"/>
      <x:c r="C320" s="2"/>
      <x:c r="D320" s="2"/>
    </x:row>
    <x:row r="321" ht="23" customHeight="1">
      <x:c r="A321" s="2"/>
      <x:c r="B321" s="2"/>
      <x:c r="C321" s="2"/>
      <x:c r="D321" s="2"/>
    </x:row>
    <x:row r="322" ht="23" customHeight="1">
      <x:c r="A322" s="2"/>
      <x:c r="B322" s="2"/>
      <x:c r="C322" s="2"/>
      <x:c r="D322" s="2"/>
    </x:row>
    <x:row r="323" ht="23" customHeight="1">
      <x:c r="A323" s="2"/>
      <x:c r="B323" s="2"/>
      <x:c r="C323" s="2"/>
      <x:c r="D323" s="2"/>
    </x:row>
    <x:row r="324" ht="23" customHeight="1">
      <x:c r="A324" s="2"/>
      <x:c r="B324" s="2"/>
      <x:c r="C324" s="2"/>
      <x:c r="D324" s="2"/>
    </x:row>
    <x:row r="325" ht="23" customHeight="1">
      <x:c r="A325" s="2"/>
      <x:c r="B325" s="2"/>
      <x:c r="C325" s="2"/>
      <x:c r="D325" s="2"/>
    </x:row>
    <x:row r="326" ht="23" customHeight="1">
      <x:c r="A326" s="2"/>
      <x:c r="B326" s="2"/>
      <x:c r="C326" s="2"/>
      <x:c r="D326" s="2"/>
    </x:row>
    <x:row r="327" ht="23" customHeight="1">
      <x:c r="A327" s="2"/>
      <x:c r="B327" s="2"/>
      <x:c r="C327" s="2"/>
      <x:c r="D327" s="2"/>
    </x:row>
    <x:row r="328" ht="23" customHeight="1">
      <x:c r="A328" s="2"/>
      <x:c r="B328" s="2"/>
      <x:c r="C328" s="2"/>
      <x:c r="D328" s="2"/>
    </x:row>
    <x:row r="329" ht="23" customHeight="1">
      <x:c r="A329" s="2"/>
      <x:c r="B329" s="2"/>
      <x:c r="C329" s="2"/>
      <x:c r="D329" s="2"/>
    </x:row>
    <x:row r="330" ht="23" customHeight="1">
      <x:c r="A330" s="2"/>
      <x:c r="B330" s="2"/>
      <x:c r="C330" s="2"/>
      <x:c r="D330" s="2"/>
    </x:row>
    <x:row r="331" ht="23" customHeight="1">
      <x:c r="A331" s="2"/>
      <x:c r="B331" s="2"/>
      <x:c r="C331" s="2"/>
      <x:c r="D331" s="2"/>
    </x:row>
    <x:row r="332" ht="23" customHeight="1">
      <x:c r="A332" s="2"/>
      <x:c r="B332" s="2"/>
      <x:c r="C332" s="2"/>
      <x:c r="D332" s="2"/>
    </x:row>
    <x:row r="333" ht="23" customHeight="1">
      <x:c r="A333" s="2"/>
      <x:c r="B333" s="2"/>
      <x:c r="C333" s="2"/>
      <x:c r="D333" s="2"/>
    </x:row>
    <x:row r="334" ht="23" customHeight="1">
      <x:c r="A334" s="2"/>
      <x:c r="B334" s="2"/>
      <x:c r="C334" s="2"/>
      <x:c r="D334" s="2"/>
    </x:row>
    <x:row r="335" ht="23" customHeight="1">
      <x:c r="A335" s="2"/>
      <x:c r="B335" s="2"/>
      <x:c r="C335" s="2"/>
      <x:c r="D335" s="2"/>
    </x:row>
    <x:row r="336" ht="23" customHeight="1">
      <x:c r="A336" s="2"/>
      <x:c r="B336" s="2"/>
      <x:c r="C336" s="2"/>
      <x:c r="D336" s="2"/>
    </x:row>
    <x:row r="337" ht="23" customHeight="1">
      <x:c r="A337" s="2"/>
      <x:c r="B337" s="2"/>
      <x:c r="C337" s="2"/>
      <x:c r="D337" s="2"/>
    </x:row>
    <x:row r="338" ht="23" customHeight="1">
      <x:c r="A338" s="2"/>
      <x:c r="B338" s="2"/>
      <x:c r="C338" s="2"/>
      <x:c r="D338" s="2"/>
    </x:row>
    <x:row r="339" ht="23" customHeight="1">
      <x:c r="A339" s="2"/>
      <x:c r="B339" s="2"/>
      <x:c r="C339" s="2"/>
      <x:c r="D339" s="2"/>
    </x:row>
    <x:row r="340" ht="23" customHeight="1">
      <x:c r="A340" s="2"/>
      <x:c r="B340" s="2"/>
      <x:c r="C340" s="2"/>
      <x:c r="D340" s="2"/>
    </x:row>
    <x:row r="341" ht="23" customHeight="1">
      <x:c r="A341" s="2"/>
      <x:c r="B341" s="2"/>
      <x:c r="C341" s="2"/>
      <x:c r="D341" s="2"/>
    </x:row>
    <x:row r="342" ht="23" customHeight="1">
      <x:c r="A342" s="2"/>
      <x:c r="B342" s="2"/>
      <x:c r="C342" s="2"/>
      <x:c r="D342" s="2"/>
    </x:row>
    <x:row r="343" ht="23" customHeight="1">
      <x:c r="A343" s="2"/>
      <x:c r="B343" s="2"/>
      <x:c r="C343" s="2"/>
      <x:c r="D343" s="2"/>
    </x:row>
    <x:row r="344" ht="23" customHeight="1">
      <x:c r="A344" s="2"/>
      <x:c r="B344" s="2"/>
      <x:c r="C344" s="2"/>
      <x:c r="D344" s="2"/>
    </x:row>
    <x:row r="345" ht="23" customHeight="1">
      <x:c r="A345" s="2"/>
      <x:c r="B345" s="2"/>
      <x:c r="C345" s="2"/>
      <x:c r="D345" s="2"/>
    </x:row>
    <x:row r="346" ht="23" customHeight="1">
      <x:c r="A346" s="2"/>
      <x:c r="B346" s="2"/>
      <x:c r="C346" s="2"/>
      <x:c r="D346" s="2"/>
    </x:row>
    <x:row r="347" ht="23" customHeight="1">
      <x:c r="A347" s="2"/>
      <x:c r="B347" s="2"/>
      <x:c r="C347" s="2"/>
      <x:c r="D347" s="2"/>
    </x:row>
    <x:row r="348" ht="23" customHeight="1">
      <x:c r="A348" s="2"/>
      <x:c r="B348" s="2"/>
      <x:c r="C348" s="2"/>
      <x:c r="D348" s="2"/>
    </x:row>
    <x:row r="349" ht="23" customHeight="1">
      <x:c r="A349" s="2"/>
      <x:c r="B349" s="2"/>
      <x:c r="C349" s="2"/>
      <x:c r="D349" s="2"/>
    </x:row>
    <x:row r="350" ht="23" customHeight="1">
      <x:c r="A350" s="2"/>
      <x:c r="B350" s="2"/>
      <x:c r="C350" s="2"/>
      <x:c r="D350" s="2"/>
    </x:row>
    <x:row r="351" ht="23" customHeight="1">
      <x:c r="A351" s="2"/>
      <x:c r="B351" s="2"/>
      <x:c r="C351" s="2"/>
      <x:c r="D351" s="2"/>
    </x:row>
    <x:row r="352" ht="23" customHeight="1">
      <x:c r="A352" s="2"/>
      <x:c r="B352" s="2"/>
      <x:c r="C352" s="2"/>
      <x:c r="D352" s="2"/>
    </x:row>
    <x:row r="353" ht="23" customHeight="1">
      <x:c r="A353" s="2"/>
      <x:c r="B353" s="2"/>
      <x:c r="C353" s="2"/>
      <x:c r="D353" s="2"/>
    </x:row>
    <x:row r="354" ht="23" customHeight="1">
      <x:c r="A354" s="2"/>
      <x:c r="B354" s="2"/>
      <x:c r="C354" s="2"/>
      <x:c r="D354" s="2"/>
    </x:row>
    <x:row r="355" ht="23" customHeight="1">
      <x:c r="A355" s="2"/>
      <x:c r="B355" s="2"/>
      <x:c r="C355" s="2"/>
      <x:c r="D355" s="2"/>
    </x:row>
    <x:row r="356" ht="23" customHeight="1">
      <x:c r="A356" s="2"/>
      <x:c r="B356" s="2"/>
      <x:c r="C356" s="2"/>
      <x:c r="D356" s="2"/>
    </x:row>
    <x:row r="357" ht="23" customHeight="1">
      <x:c r="A357" s="2"/>
      <x:c r="B357" s="2"/>
      <x:c r="C357" s="2"/>
      <x:c r="D357" s="2"/>
    </x:row>
    <x:row r="358" ht="23" customHeight="1">
      <x:c r="A358" s="2"/>
      <x:c r="B358" s="2"/>
      <x:c r="C358" s="2"/>
      <x:c r="D358" s="2"/>
    </x:row>
    <x:row r="359" ht="23" customHeight="1">
      <x:c r="A359" s="2"/>
      <x:c r="B359" s="2"/>
      <x:c r="C359" s="2"/>
      <x:c r="D359" s="2"/>
    </x:row>
    <x:row r="360" ht="23" customHeight="1">
      <x:c r="A360" s="2"/>
      <x:c r="B360" s="2"/>
      <x:c r="C360" s="2"/>
      <x:c r="D360" s="2"/>
    </x:row>
    <x:row r="361" ht="23" customHeight="1">
      <x:c r="A361" s="2"/>
      <x:c r="B361" s="2"/>
      <x:c r="C361" s="2"/>
      <x:c r="D361" s="2"/>
    </x:row>
    <x:row r="362" ht="23" customHeight="1">
      <x:c r="A362" s="2"/>
      <x:c r="B362" s="2"/>
      <x:c r="C362" s="2"/>
      <x:c r="D362" s="2"/>
    </x:row>
    <x:row r="363" ht="23" customHeight="1">
      <x:c r="A363" s="2"/>
      <x:c r="B363" s="2"/>
      <x:c r="C363" s="2"/>
      <x:c r="D363" s="2"/>
    </x:row>
    <x:row r="364" ht="23" customHeight="1">
      <x:c r="A364" s="2"/>
      <x:c r="B364" s="2"/>
      <x:c r="C364" s="2"/>
      <x:c r="D364" s="2"/>
    </x:row>
    <x:row r="365" ht="23" customHeight="1">
      <x:c r="A365" s="2"/>
      <x:c r="B365" s="2"/>
      <x:c r="C365" s="2"/>
      <x:c r="D365" s="2"/>
    </x:row>
    <x:row r="366" ht="23" customHeight="1">
      <x:c r="A366" s="2"/>
      <x:c r="B366" s="2"/>
      <x:c r="C366" s="2"/>
      <x:c r="D366" s="2"/>
    </x:row>
    <x:row r="367" ht="23" customHeight="1">
      <x:c r="A367" s="2"/>
      <x:c r="B367" s="2"/>
      <x:c r="C367" s="2"/>
      <x:c r="D367" s="2"/>
    </x:row>
    <x:row r="368" ht="23" customHeight="1">
      <x:c r="A368" s="2"/>
      <x:c r="B368" s="2"/>
      <x:c r="C368" s="2"/>
      <x:c r="D368" s="2"/>
    </x:row>
    <x:row r="369" ht="23" customHeight="1">
      <x:c r="A369" s="2"/>
      <x:c r="B369" s="2"/>
      <x:c r="C369" s="2"/>
      <x:c r="D369" s="2"/>
    </x:row>
    <x:row r="370" ht="23" customHeight="1">
      <x:c r="A370" s="2"/>
      <x:c r="B370" s="2"/>
      <x:c r="C370" s="2"/>
      <x:c r="D370" s="2"/>
    </x:row>
    <x:row r="371" ht="23" customHeight="1">
      <x:c r="A371" s="2"/>
      <x:c r="B371" s="2"/>
      <x:c r="C371" s="2"/>
      <x:c r="D371" s="2"/>
    </x:row>
    <x:row r="372" ht="23" customHeight="1">
      <x:c r="A372" s="2"/>
      <x:c r="B372" s="2"/>
      <x:c r="C372" s="2"/>
      <x:c r="D372" s="2"/>
    </x:row>
    <x:row r="373" ht="23" customHeight="1">
      <x:c r="A373" s="2"/>
      <x:c r="B373" s="2"/>
      <x:c r="C373" s="2"/>
      <x:c r="D373" s="2"/>
    </x:row>
    <x:row r="374" ht="23" customHeight="1">
      <x:c r="A374" s="2"/>
      <x:c r="B374" s="2"/>
      <x:c r="C374" s="2"/>
      <x:c r="D374" s="2"/>
    </x:row>
    <x:row r="375" ht="23" customHeight="1">
      <x:c r="A375" s="2"/>
      <x:c r="B375" s="2"/>
      <x:c r="C375" s="2"/>
      <x:c r="D375" s="2"/>
    </x:row>
    <x:row r="376" ht="23" customHeight="1">
      <x:c r="A376" s="2"/>
      <x:c r="B376" s="2"/>
      <x:c r="C376" s="2"/>
      <x:c r="D376" s="2"/>
    </x:row>
    <x:row r="377" ht="23" customHeight="1">
      <x:c r="A377" s="2"/>
      <x:c r="B377" s="2"/>
      <x:c r="C377" s="2"/>
      <x:c r="D377" s="2"/>
    </x:row>
    <x:row r="378" ht="23" customHeight="1">
      <x:c r="A378" s="2"/>
      <x:c r="B378" s="2"/>
      <x:c r="C378" s="2"/>
      <x:c r="D378" s="2"/>
    </x:row>
    <x:row r="379" ht="23" customHeight="1">
      <x:c r="A379" s="2"/>
      <x:c r="B379" s="2"/>
      <x:c r="C379" s="2"/>
      <x:c r="D379" s="2"/>
    </x:row>
    <x:row r="380" ht="23" customHeight="1">
      <x:c r="A380" s="2"/>
      <x:c r="B380" s="2"/>
      <x:c r="C380" s="2"/>
      <x:c r="D380" s="2"/>
    </x:row>
    <x:row r="381" ht="23" customHeight="1">
      <x:c r="A381" s="2"/>
      <x:c r="B381" s="2"/>
      <x:c r="C381" s="2"/>
      <x:c r="D381" s="2"/>
    </x:row>
    <x:row r="382" ht="23" customHeight="1">
      <x:c r="A382" s="2"/>
      <x:c r="B382" s="2"/>
      <x:c r="C382" s="2"/>
      <x:c r="D382" s="2"/>
    </x:row>
    <x:row r="383" ht="23" customHeight="1">
      <x:c r="A383" s="2"/>
      <x:c r="B383" s="2"/>
      <x:c r="C383" s="2"/>
      <x:c r="D383" s="2"/>
    </x:row>
    <x:row r="384" ht="23" customHeight="1">
      <x:c r="A384" s="2"/>
      <x:c r="B384" s="2"/>
      <x:c r="C384" s="2"/>
      <x:c r="D384" s="2"/>
    </x:row>
    <x:row r="385" ht="23" customHeight="1">
      <x:c r="A385" s="2"/>
      <x:c r="B385" s="2"/>
      <x:c r="C385" s="2"/>
      <x:c r="D385" s="2"/>
    </x:row>
    <x:row r="386" ht="23" customHeight="1">
      <x:c r="A386" s="2"/>
      <x:c r="B386" s="2"/>
      <x:c r="C386" s="2"/>
      <x:c r="D386" s="2"/>
    </x:row>
    <x:row r="387" ht="23" customHeight="1">
      <x:c r="A387" s="2"/>
      <x:c r="B387" s="2"/>
      <x:c r="C387" s="2"/>
      <x:c r="D387" s="2"/>
    </x:row>
    <x:row r="388" ht="23" customHeight="1">
      <x:c r="A388" s="2"/>
      <x:c r="B388" s="2"/>
      <x:c r="C388" s="2"/>
      <x:c r="D388" s="2"/>
    </x:row>
    <x:row r="389" ht="23" customHeight="1">
      <x:c r="A389" s="2"/>
      <x:c r="B389" s="2"/>
      <x:c r="C389" s="2"/>
      <x:c r="D389" s="2"/>
    </x:row>
    <x:row r="390" ht="23" customHeight="1">
      <x:c r="A390" s="2"/>
      <x:c r="B390" s="2"/>
      <x:c r="C390" s="2"/>
      <x:c r="D390" s="2"/>
    </x:row>
    <x:row r="391" ht="23" customHeight="1">
      <x:c r="A391" s="2"/>
      <x:c r="B391" s="2"/>
      <x:c r="C391" s="2"/>
      <x:c r="D391" s="2"/>
    </x:row>
    <x:row r="392" ht="23" customHeight="1">
      <x:c r="A392" s="2"/>
      <x:c r="B392" s="2"/>
      <x:c r="C392" s="2"/>
      <x:c r="D392" s="2"/>
    </x:row>
    <x:row r="393" ht="23" customHeight="1">
      <x:c r="A393" s="2"/>
      <x:c r="B393" s="2"/>
      <x:c r="C393" s="2"/>
      <x:c r="D393" s="2"/>
    </x:row>
    <x:row r="394" ht="23" customHeight="1">
      <x:c r="A394" s="2"/>
      <x:c r="B394" s="2"/>
      <x:c r="C394" s="2"/>
      <x:c r="D394" s="2"/>
    </x:row>
    <x:row r="395" ht="23" customHeight="1">
      <x:c r="A395" s="2"/>
      <x:c r="B395" s="2"/>
      <x:c r="C395" s="2"/>
      <x:c r="D395" s="2"/>
    </x:row>
    <x:row r="396" ht="23" customHeight="1">
      <x:c r="A396" s="2"/>
      <x:c r="B396" s="2"/>
      <x:c r="C396" s="2"/>
      <x:c r="D396" s="2"/>
    </x:row>
    <x:row r="397" ht="23" customHeight="1">
      <x:c r="A397" s="2"/>
      <x:c r="B397" s="2"/>
      <x:c r="C397" s="2"/>
      <x:c r="D397" s="2"/>
    </x:row>
    <x:row r="398" ht="23" customHeight="1">
      <x:c r="A398" s="2"/>
      <x:c r="B398" s="2"/>
      <x:c r="C398" s="2"/>
      <x:c r="D398" s="2"/>
    </x:row>
    <x:row r="399" ht="23" customHeight="1">
      <x:c r="A399" s="2"/>
      <x:c r="B399" s="2"/>
      <x:c r="C399" s="2"/>
      <x:c r="D399" s="2"/>
    </x:row>
    <x:row r="400" ht="23" customHeight="1">
      <x:c r="A400" s="2"/>
      <x:c r="B400" s="2"/>
      <x:c r="C400" s="2"/>
      <x:c r="D400" s="2"/>
    </x:row>
  </x:sheetData>
  <x:mergeCells>
    <x:mergeCell ref="A1:D1"/>
    <x:mergeCell ref="A2:D2"/>
    <x:mergeCell ref="A17:D17"/>
    <x:mergeCell ref="A18:D18"/>
    <x:mergeCell ref="A19:D19"/>
    <x:mergeCell ref="A20:D2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.219999313354492" hidden="0" customWidth="1"/>
    <x:col min="2" max="2" width="18.889999389648438" hidden="0" customWidth="1"/>
    <x:col min="3" max="3" width="18.889999389648438" hidden="0" customWidth="1"/>
    <x:col min="4" max="4" width="18.889999389648438" hidden="0" customWidth="1"/>
    <x:col min="5" max="5" width="18.889999389648438" hidden="0" customWidth="1"/>
    <x:col min="6" max="6" width="18.889999389648438" hidden="0" customWidth="1"/>
  </x:cols>
  <x:sheetData>
    <x:row r="1" ht="43" customHeight="1">
      <x:c r="A1" s="4" t="str">
        <x:v>台积电：买入条件的敏感性</x:v>
      </x:c>
      <x:c r="B1" s="4"/>
      <x:c r="C1" s="4"/>
      <x:c r="D1" s="4"/>
      <x:c r="E1" s="4"/>
      <x:c r="F1" s="4"/>
    </x:row>
    <x:row r="2" ht="30" customHeight="1">
      <x:c r="A2" s="5" t="str">
        <x:v>2028 每股收益与退出倍数共同变化；表内为 24 个月年化回报。</x:v>
      </x:c>
      <x:c r="B2" s="5"/>
      <x:c r="C2" s="5"/>
      <x:c r="D2" s="5"/>
      <x:c r="E2" s="5"/>
      <x:c r="F2" s="5"/>
    </x:row>
    <x:row r="3" ht="23" customHeight="1">
      <x:c r="A3" s="2"/>
      <x:c r="B3" s="2"/>
      <x:c r="C3" s="2"/>
      <x:c r="D3" s="2"/>
      <x:c r="E3" s="2"/>
      <x:c r="F3" s="2"/>
    </x:row>
    <x:row r="4" ht="38" customHeight="1">
      <x:c r="A4" s="8" t="str">
        <x:v>基准 EPS 的变化</x:v>
      </x:c>
      <x:c r="B4" s="8" t="n">
        <x:v>20</x:v>
      </x:c>
      <x:c r="C4" s="8" t="n">
        <x:v>22</x:v>
      </x:c>
      <x:c r="D4" s="8" t="n">
        <x:v>24</x:v>
      </x:c>
      <x:c r="E4" s="8" t="n">
        <x:v>26</x:v>
      </x:c>
      <x:c r="F4" s="8" t="n">
        <x:v>28</x:v>
      </x:c>
    </x:row>
    <x:row r="5" ht="42" customHeight="1">
      <x:c r="A5" s="59" t="n">
        <x:v>0.8</x:v>
      </x:c>
      <x:c r="B5" s="12" t="n">
        <x:f>(('台积电'!$C$21*$A5*B$4+'台积电'!$C$29)/'台积电'!$B$5)^(1/'台积电'!$B$6)-1</x:f>
        <x:v>-0.03396829045671235</x:v>
      </x:c>
      <x:c r="C5" s="12" t="n">
        <x:f>(('台积电'!$C$21*$A5*C$4+'台积电'!$C$29)/'台积电'!$B$5)^(1/'台积电'!$B$6)-1</x:f>
        <x:v>0.012117243148683787</x:v>
      </x:c>
      <x:c r="D5" s="12" t="n">
        <x:f>(('台积电'!$C$21*$A5*D$4+'台积电'!$C$29)/'台积电'!$B$5)^(1/'台积电'!$B$6)-1</x:f>
        <x:v>0.0561938098259509</x:v>
      </x:c>
      <x:c r="E5" s="12" t="n">
        <x:f>(('台积电'!$C$21*$A5*E$4+'台积电'!$C$29)/'台积电'!$B$5)^(1/'台积电'!$B$6)-1</x:f>
        <x:v>0.09850326078278981</x:v>
      </x:c>
      <x:c r="F5" s="12" t="n">
        <x:f>(('台积电'!$C$21*$A5*F$4+'台积电'!$C$29)/'台积电'!$B$5)^(1/'台积电'!$B$6)-1</x:f>
        <x:v>0.13924249569009084</x:v>
      </x:c>
    </x:row>
    <x:row r="6" ht="42" customHeight="1">
      <x:c r="A6" s="60" t="n">
        <x:v>0.9</x:v>
      </x:c>
      <x:c r="B6" s="17" t="n">
        <x:f>(('台积电'!$C$21*$A6*B$4+'台积电'!$C$29)/'台积电'!$B$5)^(1/'台积电'!$B$6)-1</x:f>
        <x:v>0.023314382967342562</x:v>
      </x:c>
      <x:c r="C6" s="17" t="n">
        <x:f>(('台积电'!$C$21*$A6*C$4+'台积电'!$C$29)/'台积电'!$B$5)^(1/'台积电'!$B$6)-1</x:f>
        <x:v>0.07225551184317469</x:v>
      </x:c>
      <x:c r="D6" s="17" t="n">
        <x:f>(('台积电'!$C$21*$A6*D$4+'台积电'!$C$29)/'台积电'!$B$5)^(1/'台积电'!$B$6)-1</x:f>
        <x:v>0.1190582822035251</x:v>
      </x:c>
      <x:c r="E6" s="17" t="n">
        <x:f>(('台积电'!$C$21*$A6*E$4+'台积电'!$C$29)/'台积电'!$B$5)^(1/'台积电'!$B$6)-1</x:f>
        <x:v>0.1639806679058462</x:v>
      </x:c>
      <x:c r="F6" s="17" t="n">
        <x:f>(('台积电'!$C$21*$A6*F$4+'台积电'!$C$29)/'台积电'!$B$5)^(1/'台积电'!$B$6)-1</x:f>
        <x:v>0.20723260043322878</x:v>
      </x:c>
    </x:row>
    <x:row r="7" ht="42" customHeight="1">
      <x:c r="A7" s="59" t="n">
        <x:v>1</x:v>
      </x:c>
      <x:c r="B7" s="12" t="n">
        <x:f>(('台积电'!$C$21*$A7*B$4+'台积电'!$C$29)/'台积电'!$B$5)^(1/'台积电'!$B$6)-1</x:f>
        <x:v>0.07755621149550218</x:v>
      </x:c>
      <x:c r="C7" s="12" t="n">
        <x:f>(('台积电'!$C$21*$A7*C$4+'台积电'!$C$29)/'台积电'!$B$5)^(1/'台积电'!$B$6)-1</x:f>
        <x:v>0.12919548860117458</x:v>
      </x:c>
      <x:c r="D7" s="12" t="n">
        <x:f>(('台积电'!$C$21*$A7*D$4+'台积电'!$C$29)/'台积电'!$B$5)^(1/'台积电'!$B$6)-1</x:f>
        <x:v>0.17857435659442022</x:v>
      </x:c>
      <x:c r="E7" s="12" t="n">
        <x:f>(('台积电'!$C$21*$A7*E$4+'台积电'!$C$29)/'台积电'!$B$5)^(1/'台积电'!$B$6)-1</x:f>
        <x:v>0.2259659769205089</x:v>
      </x:c>
      <x:c r="F7" s="12" t="n">
        <x:f>(('台积电'!$C$21*$A7*F$4+'台积电'!$C$29)/'台积电'!$B$5)^(1/'台积电'!$B$6)-1</x:f>
        <x:v>0.2715925601824525</x:v>
      </x:c>
    </x:row>
    <x:row r="8" ht="42" customHeight="1">
      <x:c r="A8" s="60" t="n">
        <x:v>1.1</x:v>
      </x:c>
      <x:c r="B8" s="17" t="n">
        <x:f>(('台积电'!$C$21*$A8*B$4+'台积电'!$C$29)/'台积电'!$B$5)^(1/'台积电'!$B$6)-1</x:f>
        <x:v>0.12919548860117458</x:v>
      </x:c>
      <x:c r="C8" s="17" t="n">
        <x:f>(('台积电'!$C$21*$A8*C$4+'台积电'!$C$29)/'台积电'!$B$5)^(1/'台积电'!$B$6)-1</x:f>
        <x:v>0.1833989269373293</x:v>
      </x:c>
      <x:c r="D8" s="17" t="n">
        <x:f>(('台积电'!$C$21*$A8*D$4+'台积电'!$C$29)/'台积电'!$B$5)^(1/'台积电'!$B$6)-1</x:f>
        <x:v>0.23522612872121496</x:v>
      </x:c>
      <x:c r="E8" s="17" t="n">
        <x:f>(('台积电'!$C$21*$A8*E$4+'台积电'!$C$29)/'台积电'!$B$5)^(1/'台积电'!$B$6)-1</x:f>
        <x:v>0.28496465238339397</x:v>
      </x:c>
      <x:c r="F8" s="17" t="n">
        <x:f>(('台积电'!$C$21*$A8*F$4+'台积电'!$C$29)/'台积电'!$B$5)^(1/'台积电'!$B$6)-1</x:f>
        <x:v>0.33284835096643794</x:v>
      </x:c>
    </x:row>
    <x:row r="9" ht="42" customHeight="1">
      <x:c r="A9" s="59" t="n">
        <x:v>1.2</x:v>
      </x:c>
      <x:c r="B9" s="12" t="n">
        <x:f>(('台积电'!$C$21*$A9*B$4+'台积电'!$C$29)/'台积电'!$B$5)^(1/'台积电'!$B$6)-1</x:f>
        <x:v>0.17857435659442022</x:v>
      </x:c>
      <x:c r="C9" s="12" t="n">
        <x:f>(('台积电'!$C$21*$A9*C$4+'台积电'!$C$29)/'台积电'!$B$5)^(1/'台积电'!$B$6)-1</x:f>
        <x:v>0.23522612872121496</x:v>
      </x:c>
      <x:c r="D9" s="12" t="n">
        <x:f>(('台积电'!$C$21*$A9*D$4+'台积电'!$C$29)/'台积电'!$B$5)^(1/'台积电'!$B$6)-1</x:f>
        <x:v>0.2893911990273732</x:v>
      </x:c>
      <x:c r="E9" s="12" t="n">
        <x:f>(('台积电'!$C$21*$A9*E$4+'台积电'!$C$29)/'台积电'!$B$5)^(1/'台积电'!$B$6)-1</x:f>
        <x:v>0.3413708432729907</x:v>
      </x:c>
      <x:c r="F9" s="12" t="n">
        <x:f>(('台积电'!$C$21*$A9*F$4+'台积电'!$C$29)/'台积电'!$B$5)^(1/'台积电'!$B$6)-1</x:f>
        <x:v>0.39141000939210646</x:v>
      </x:c>
    </x:row>
    <x:row r="10" ht="23" customHeight="1">
      <x:c r="A10" s="2"/>
      <x:c r="B10" s="2"/>
      <x:c r="C10" s="2"/>
      <x:c r="D10" s="2"/>
      <x:c r="E10" s="2"/>
      <x:c r="F10" s="2"/>
    </x:row>
    <x:row r="11" ht="23" customHeight="1">
      <x:c r="A11" s="2"/>
      <x:c r="B11" s="2"/>
      <x:c r="C11" s="2"/>
      <x:c r="D11" s="2"/>
      <x:c r="E11" s="2"/>
      <x:c r="F11" s="2"/>
    </x:row>
    <x:row r="12" ht="35" customHeight="1">
      <x:c r="A12" s="9" t="str">
        <x:v>基准 EPS 约 137.3 TWD；24 倍退出 PE 对应约 17.9% 年化回报。</x:v>
      </x:c>
      <x:c r="B12" s="9"/>
      <x:c r="C12" s="9"/>
      <x:c r="D12" s="9"/>
      <x:c r="E12" s="9"/>
      <x:c r="F12" s="9"/>
    </x:row>
    <x:row r="13" ht="35" customHeight="1">
      <x:c r="A13" s="9" t="str">
        <x:v>EPS 较基准下降 10%，即使退出倍数仍为 24 倍，年化回报也降至约 11.9%。</x:v>
      </x:c>
      <x:c r="B13" s="9"/>
      <x:c r="C13" s="9"/>
      <x:c r="D13" s="9"/>
      <x:c r="E13" s="9"/>
      <x:c r="F13" s="9"/>
    </x:row>
    <x:row r="14" ht="23" customHeight="1">
      <x:c r="A14" s="2"/>
      <x:c r="B14" s="2"/>
      <x:c r="C14" s="2"/>
      <x:c r="D14" s="2"/>
      <x:c r="E14" s="2"/>
      <x:c r="F14" s="2"/>
    </x:row>
    <x:row r="15" ht="23" customHeight="1">
      <x:c r="A15" s="2"/>
      <x:c r="B15" s="2"/>
      <x:c r="C15" s="2"/>
      <x:c r="D15" s="2"/>
      <x:c r="E15" s="2"/>
      <x:c r="F15" s="2"/>
    </x:row>
    <x:row r="16" ht="38" customHeight="1">
      <x:c r="A16" s="8" t="str">
        <x:v>美元投资者汇率变化</x:v>
      </x:c>
      <x:c r="B16" s="61" t="n">
        <x:v>-0.1</x:v>
      </x:c>
      <x:c r="C16" s="61" t="n">
        <x:v>0</x:v>
      </x:c>
      <x:c r="D16" s="61" t="n">
        <x:v>0.1</x:v>
      </x:c>
      <x:c r="E16" s="8"/>
      <x:c r="F16" s="8"/>
    </x:row>
    <x:row r="17" ht="42" customHeight="1">
      <x:c r="A17" s="10" t="str">
        <x:v>美元年化总回报</x:v>
      </x:c>
      <x:c r="B17" s="12" t="n">
        <x:f>((1+'台积电'!C30)*(1+B16))^(1/'台积电'!B6)-1</x:f>
        <x:v>0.11809380761175703</x:v>
      </x:c>
      <x:c r="C17" s="12" t="n">
        <x:f>((1+'台积电'!C30)*(1+C16))^(1/'台积电'!B6)-1</x:f>
        <x:v>0.17857435659442022</x:v>
      </x:c>
      <x:c r="D17" s="12" t="n">
        <x:f>((1+'台积电'!C30)*(1+D16))^(1/'台积电'!B6)-1</x:f>
        <x:v>0.23609921342267137</x:v>
      </x:c>
      <x:c r="E17" s="10"/>
      <x:c r="F17" s="10"/>
    </x:row>
    <x:row r="18" ht="23" customHeight="1">
      <x:c r="A18" s="2"/>
      <x:c r="B18" s="2"/>
      <x:c r="C18" s="2"/>
      <x:c r="D18" s="2"/>
      <x:c r="E18" s="2"/>
      <x:c r="F18" s="2"/>
    </x:row>
    <x:row r="19" ht="35" customHeight="1">
      <x:c r="A19" s="9" t="str">
        <x:v>汇率变化指 TWD 对 USD 的期末价值变化；未考虑股息换汇时点、税费和套保成本。</x:v>
      </x:c>
      <x:c r="B19" s="9"/>
      <x:c r="C19" s="9"/>
      <x:c r="D19" s="9"/>
      <x:c r="E19" s="9"/>
      <x:c r="F19" s="9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2"/>
      <x:c r="B21" s="2"/>
      <x:c r="C21" s="2"/>
      <x:c r="D21" s="2"/>
      <x:c r="E21" s="2"/>
      <x:c r="F21" s="2"/>
    </x:row>
    <x:row r="22" ht="23" customHeight="1">
      <x:c r="A22" s="2"/>
      <x:c r="B22" s="2"/>
      <x:c r="C22" s="2"/>
      <x:c r="D22" s="2"/>
      <x:c r="E22" s="2"/>
      <x:c r="F22" s="2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  <x:row r="25" ht="23" customHeight="1">
      <x:c r="A25" s="2"/>
      <x:c r="B25" s="2"/>
      <x:c r="C25" s="2"/>
      <x:c r="D25" s="2"/>
      <x:c r="E25" s="2"/>
      <x:c r="F25" s="2"/>
    </x:row>
    <x:row r="26" ht="23" customHeight="1">
      <x:c r="A26" s="2"/>
      <x:c r="B26" s="2"/>
      <x:c r="C26" s="2"/>
      <x:c r="D26" s="2"/>
      <x:c r="E26" s="2"/>
      <x:c r="F26" s="2"/>
    </x:row>
    <x:row r="27" ht="23" customHeight="1">
      <x:c r="A27" s="2"/>
      <x:c r="B27" s="2"/>
      <x:c r="C27" s="2"/>
      <x:c r="D27" s="2"/>
      <x:c r="E27" s="2"/>
      <x:c r="F27" s="2"/>
    </x:row>
    <x:row r="28" ht="23" customHeight="1">
      <x:c r="A28" s="2"/>
      <x:c r="B28" s="2"/>
      <x:c r="C28" s="2"/>
      <x:c r="D28" s="2"/>
      <x:c r="E28" s="2"/>
      <x:c r="F28" s="2"/>
    </x:row>
    <x:row r="29" ht="23" customHeight="1">
      <x:c r="A29" s="2"/>
      <x:c r="B29" s="2"/>
      <x:c r="C29" s="2"/>
      <x:c r="D29" s="2"/>
      <x:c r="E29" s="2"/>
      <x:c r="F29" s="2"/>
    </x:row>
    <x:row r="30" ht="23" customHeight="1">
      <x:c r="A30" s="2"/>
      <x:c r="B30" s="2"/>
      <x:c r="C30" s="2"/>
      <x:c r="D30" s="2"/>
      <x:c r="E30" s="2"/>
      <x:c r="F30" s="2"/>
    </x:row>
    <x:row r="31" ht="23" customHeight="1">
      <x:c r="A31" s="2"/>
      <x:c r="B31" s="2"/>
      <x:c r="C31" s="2"/>
      <x:c r="D31" s="2"/>
      <x:c r="E31" s="2"/>
      <x:c r="F31" s="2"/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  <x:row r="34" ht="23" customHeight="1">
      <x:c r="A34" s="2"/>
      <x:c r="B34" s="2"/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  <x:row r="36" ht="23" customHeight="1">
      <x:c r="A36" s="2"/>
      <x:c r="B36" s="2"/>
      <x:c r="C36" s="2"/>
      <x:c r="D36" s="2"/>
      <x:c r="E36" s="2"/>
      <x:c r="F36" s="2"/>
    </x:row>
    <x:row r="37" ht="23" customHeight="1">
      <x:c r="A37" s="2"/>
      <x:c r="B37" s="2"/>
      <x:c r="C37" s="2"/>
      <x:c r="D37" s="2"/>
      <x:c r="E37" s="2"/>
      <x:c r="F37" s="2"/>
    </x:row>
    <x:row r="38" ht="23" customHeight="1">
      <x:c r="A38" s="2"/>
      <x:c r="B38" s="2"/>
      <x:c r="C38" s="2"/>
      <x:c r="D38" s="2"/>
      <x:c r="E38" s="2"/>
      <x:c r="F38" s="2"/>
    </x:row>
    <x:row r="39" ht="23" customHeight="1">
      <x:c r="A39" s="2"/>
      <x:c r="B39" s="2"/>
      <x:c r="C39" s="2"/>
      <x:c r="D39" s="2"/>
      <x:c r="E39" s="2"/>
      <x:c r="F39" s="2"/>
    </x:row>
    <x:row r="40" ht="23" customHeight="1">
      <x:c r="A40" s="2"/>
      <x:c r="B40" s="2"/>
      <x:c r="C40" s="2"/>
      <x:c r="D40" s="2"/>
      <x:c r="E40" s="2"/>
      <x:c r="F40" s="2"/>
    </x:row>
    <x:row r="41" ht="23" customHeight="1">
      <x:c r="A41" s="2"/>
      <x:c r="B41" s="2"/>
      <x:c r="C41" s="2"/>
      <x:c r="D41" s="2"/>
      <x:c r="E41" s="2"/>
      <x:c r="F41" s="2"/>
    </x:row>
    <x:row r="42" ht="23" customHeight="1">
      <x:c r="A42" s="2"/>
      <x:c r="B42" s="2"/>
      <x:c r="C42" s="2"/>
      <x:c r="D42" s="2"/>
      <x:c r="E42" s="2"/>
      <x:c r="F42" s="2"/>
    </x:row>
    <x:row r="43" ht="23" customHeight="1">
      <x:c r="A43" s="2"/>
      <x:c r="B43" s="2"/>
      <x:c r="C43" s="2"/>
      <x:c r="D43" s="2"/>
      <x:c r="E43" s="2"/>
      <x:c r="F43" s="2"/>
    </x:row>
    <x:row r="44" ht="23" customHeight="1">
      <x:c r="A44" s="2"/>
      <x:c r="B44" s="2"/>
      <x:c r="C44" s="2"/>
      <x:c r="D44" s="2"/>
      <x:c r="E44" s="2"/>
      <x:c r="F44" s="2"/>
    </x:row>
    <x:row r="45" ht="23" customHeight="1">
      <x:c r="A45" s="2"/>
      <x:c r="B45" s="2"/>
      <x:c r="C45" s="2"/>
      <x:c r="D45" s="2"/>
      <x:c r="E45" s="2"/>
      <x:c r="F45" s="2"/>
    </x:row>
    <x:row r="46" ht="23" customHeight="1">
      <x:c r="A46" s="2"/>
      <x:c r="B46" s="2"/>
      <x:c r="C46" s="2"/>
      <x:c r="D46" s="2"/>
      <x:c r="E46" s="2"/>
      <x:c r="F46" s="2"/>
    </x:row>
    <x:row r="47" ht="23" customHeight="1">
      <x:c r="A47" s="2"/>
      <x:c r="B47" s="2"/>
      <x:c r="C47" s="2"/>
      <x:c r="D47" s="2"/>
      <x:c r="E47" s="2"/>
      <x:c r="F47" s="2"/>
    </x:row>
    <x:row r="48" ht="23" customHeight="1">
      <x:c r="A48" s="2"/>
      <x:c r="B48" s="2"/>
      <x:c r="C48" s="2"/>
      <x:c r="D48" s="2"/>
      <x:c r="E48" s="2"/>
      <x:c r="F48" s="2"/>
    </x:row>
    <x:row r="49" ht="23" customHeight="1">
      <x:c r="A49" s="2"/>
      <x:c r="B49" s="2"/>
      <x:c r="C49" s="2"/>
      <x:c r="D49" s="2"/>
      <x:c r="E49" s="2"/>
      <x:c r="F49" s="2"/>
    </x:row>
    <x:row r="50" ht="23" customHeight="1">
      <x:c r="A50" s="2"/>
      <x:c r="B50" s="2"/>
      <x:c r="C50" s="2"/>
      <x:c r="D50" s="2"/>
      <x:c r="E50" s="2"/>
      <x:c r="F50" s="2"/>
    </x:row>
    <x:row r="51" ht="23" customHeight="1">
      <x:c r="A51" s="2"/>
      <x:c r="B51" s="2"/>
      <x:c r="C51" s="2"/>
      <x:c r="D51" s="2"/>
      <x:c r="E51" s="2"/>
      <x:c r="F51" s="2"/>
    </x:row>
    <x:row r="52" ht="23" customHeight="1">
      <x:c r="A52" s="2"/>
      <x:c r="B52" s="2"/>
      <x:c r="C52" s="2"/>
      <x:c r="D52" s="2"/>
      <x:c r="E52" s="2"/>
      <x:c r="F52" s="2"/>
    </x:row>
    <x:row r="53" ht="23" customHeight="1">
      <x:c r="A53" s="2"/>
      <x:c r="B53" s="2"/>
      <x:c r="C53" s="2"/>
      <x:c r="D53" s="2"/>
      <x:c r="E53" s="2"/>
      <x:c r="F53" s="2"/>
    </x:row>
    <x:row r="54" ht="23" customHeight="1">
      <x:c r="A54" s="2"/>
      <x:c r="B54" s="2"/>
      <x:c r="C54" s="2"/>
      <x:c r="D54" s="2"/>
      <x:c r="E54" s="2"/>
      <x:c r="F54" s="2"/>
    </x:row>
    <x:row r="55" ht="23" customHeight="1">
      <x:c r="A55" s="2"/>
      <x:c r="B55" s="2"/>
      <x:c r="C55" s="2"/>
      <x:c r="D55" s="2"/>
      <x:c r="E55" s="2"/>
      <x:c r="F55" s="2"/>
    </x:row>
    <x:row r="56" ht="23" customHeight="1">
      <x:c r="A56" s="2"/>
      <x:c r="B56" s="2"/>
      <x:c r="C56" s="2"/>
      <x:c r="D56" s="2"/>
      <x:c r="E56" s="2"/>
      <x:c r="F56" s="2"/>
    </x:row>
    <x:row r="57" ht="23" customHeight="1">
      <x:c r="A57" s="2"/>
      <x:c r="B57" s="2"/>
      <x:c r="C57" s="2"/>
      <x:c r="D57" s="2"/>
      <x:c r="E57" s="2"/>
      <x:c r="F57" s="2"/>
    </x:row>
    <x:row r="58" ht="23" customHeight="1">
      <x:c r="A58" s="2"/>
      <x:c r="B58" s="2"/>
      <x:c r="C58" s="2"/>
      <x:c r="D58" s="2"/>
      <x:c r="E58" s="2"/>
      <x:c r="F58" s="2"/>
    </x:row>
    <x:row r="59" ht="23" customHeight="1">
      <x:c r="A59" s="2"/>
      <x:c r="B59" s="2"/>
      <x:c r="C59" s="2"/>
      <x:c r="D59" s="2"/>
      <x:c r="E59" s="2"/>
      <x:c r="F59" s="2"/>
    </x:row>
    <x:row r="60" ht="23" customHeight="1">
      <x:c r="A60" s="2"/>
      <x:c r="B60" s="2"/>
      <x:c r="C60" s="2"/>
      <x:c r="D60" s="2"/>
      <x:c r="E60" s="2"/>
      <x:c r="F60" s="2"/>
    </x:row>
    <x:row r="61" ht="23" customHeight="1">
      <x:c r="A61" s="2"/>
      <x:c r="B61" s="2"/>
      <x:c r="C61" s="2"/>
      <x:c r="D61" s="2"/>
      <x:c r="E61" s="2"/>
      <x:c r="F61" s="2"/>
    </x:row>
    <x:row r="62" ht="23" customHeight="1">
      <x:c r="A62" s="2"/>
      <x:c r="B62" s="2"/>
      <x:c r="C62" s="2"/>
      <x:c r="D62" s="2"/>
      <x:c r="E62" s="2"/>
      <x:c r="F62" s="2"/>
    </x:row>
    <x:row r="63" ht="23" customHeight="1">
      <x:c r="A63" s="2"/>
      <x:c r="B63" s="2"/>
      <x:c r="C63" s="2"/>
      <x:c r="D63" s="2"/>
      <x:c r="E63" s="2"/>
      <x:c r="F63" s="2"/>
    </x:row>
    <x:row r="64" ht="23" customHeight="1">
      <x:c r="A64" s="2"/>
      <x:c r="B64" s="2"/>
      <x:c r="C64" s="2"/>
      <x:c r="D64" s="2"/>
      <x:c r="E64" s="2"/>
      <x:c r="F64" s="2"/>
    </x:row>
    <x:row r="65" ht="23" customHeight="1">
      <x:c r="A65" s="2"/>
      <x:c r="B65" s="2"/>
      <x:c r="C65" s="2"/>
      <x:c r="D65" s="2"/>
      <x:c r="E65" s="2"/>
      <x:c r="F65" s="2"/>
    </x:row>
    <x:row r="66" ht="23" customHeight="1">
      <x:c r="A66" s="2"/>
      <x:c r="B66" s="2"/>
      <x:c r="C66" s="2"/>
      <x:c r="D66" s="2"/>
      <x:c r="E66" s="2"/>
      <x:c r="F66" s="2"/>
    </x:row>
    <x:row r="67" ht="23" customHeight="1">
      <x:c r="A67" s="2"/>
      <x:c r="B67" s="2"/>
      <x:c r="C67" s="2"/>
      <x:c r="D67" s="2"/>
      <x:c r="E67" s="2"/>
      <x:c r="F67" s="2"/>
    </x:row>
    <x:row r="68" ht="23" customHeight="1">
      <x:c r="A68" s="2"/>
      <x:c r="B68" s="2"/>
      <x:c r="C68" s="2"/>
      <x:c r="D68" s="2"/>
      <x:c r="E68" s="2"/>
      <x:c r="F68" s="2"/>
    </x:row>
    <x:row r="69" ht="23" customHeight="1">
      <x:c r="A69" s="2"/>
      <x:c r="B69" s="2"/>
      <x:c r="C69" s="2"/>
      <x:c r="D69" s="2"/>
      <x:c r="E69" s="2"/>
      <x:c r="F69" s="2"/>
    </x:row>
    <x:row r="70" ht="23" customHeight="1">
      <x:c r="A70" s="2"/>
      <x:c r="B70" s="2"/>
      <x:c r="C70" s="2"/>
      <x:c r="D70" s="2"/>
      <x:c r="E70" s="2"/>
      <x:c r="F70" s="2"/>
    </x:row>
    <x:row r="71" ht="23" customHeight="1">
      <x:c r="A71" s="2"/>
      <x:c r="B71" s="2"/>
      <x:c r="C71" s="2"/>
      <x:c r="D71" s="2"/>
      <x:c r="E71" s="2"/>
      <x:c r="F71" s="2"/>
    </x:row>
    <x:row r="72" ht="23" customHeight="1">
      <x:c r="A72" s="2"/>
      <x:c r="B72" s="2"/>
      <x:c r="C72" s="2"/>
      <x:c r="D72" s="2"/>
      <x:c r="E72" s="2"/>
      <x:c r="F72" s="2"/>
    </x:row>
    <x:row r="73" ht="23" customHeight="1">
      <x:c r="A73" s="2"/>
      <x:c r="B73" s="2"/>
      <x:c r="C73" s="2"/>
      <x:c r="D73" s="2"/>
      <x:c r="E73" s="2"/>
      <x:c r="F73" s="2"/>
    </x:row>
    <x:row r="74" ht="23" customHeight="1">
      <x:c r="A74" s="2"/>
      <x:c r="B74" s="2"/>
      <x:c r="C74" s="2"/>
      <x:c r="D74" s="2"/>
      <x:c r="E74" s="2"/>
      <x:c r="F74" s="2"/>
    </x:row>
    <x:row r="75" ht="23" customHeight="1">
      <x:c r="A75" s="2"/>
      <x:c r="B75" s="2"/>
      <x:c r="C75" s="2"/>
      <x:c r="D75" s="2"/>
      <x:c r="E75" s="2"/>
      <x:c r="F75" s="2"/>
    </x:row>
    <x:row r="76" ht="23" customHeight="1">
      <x:c r="A76" s="2"/>
      <x:c r="B76" s="2"/>
      <x:c r="C76" s="2"/>
      <x:c r="D76" s="2"/>
      <x:c r="E76" s="2"/>
      <x:c r="F76" s="2"/>
    </x:row>
    <x:row r="77" ht="23" customHeight="1">
      <x:c r="A77" s="2"/>
      <x:c r="B77" s="2"/>
      <x:c r="C77" s="2"/>
      <x:c r="D77" s="2"/>
      <x:c r="E77" s="2"/>
      <x:c r="F77" s="2"/>
    </x:row>
    <x:row r="78" ht="23" customHeight="1">
      <x:c r="A78" s="2"/>
      <x:c r="B78" s="2"/>
      <x:c r="C78" s="2"/>
      <x:c r="D78" s="2"/>
      <x:c r="E78" s="2"/>
      <x:c r="F78" s="2"/>
    </x:row>
    <x:row r="79" ht="23" customHeight="1">
      <x:c r="A79" s="2"/>
      <x:c r="B79" s="2"/>
      <x:c r="C79" s="2"/>
      <x:c r="D79" s="2"/>
      <x:c r="E79" s="2"/>
      <x:c r="F79" s="2"/>
    </x:row>
    <x:row r="80" ht="23" customHeight="1">
      <x:c r="A80" s="2"/>
      <x:c r="B80" s="2"/>
      <x:c r="C80" s="2"/>
      <x:c r="D80" s="2"/>
      <x:c r="E80" s="2"/>
      <x:c r="F80" s="2"/>
    </x:row>
    <x:row r="81" ht="23" customHeight="1">
      <x:c r="A81" s="2"/>
      <x:c r="B81" s="2"/>
      <x:c r="C81" s="2"/>
      <x:c r="D81" s="2"/>
      <x:c r="E81" s="2"/>
      <x:c r="F81" s="2"/>
    </x:row>
    <x:row r="82" ht="23" customHeight="1">
      <x:c r="A82" s="2"/>
      <x:c r="B82" s="2"/>
      <x:c r="C82" s="2"/>
      <x:c r="D82" s="2"/>
      <x:c r="E82" s="2"/>
      <x:c r="F82" s="2"/>
    </x:row>
    <x:row r="83" ht="23" customHeight="1">
      <x:c r="A83" s="2"/>
      <x:c r="B83" s="2"/>
      <x:c r="C83" s="2"/>
      <x:c r="D83" s="2"/>
      <x:c r="E83" s="2"/>
      <x:c r="F83" s="2"/>
    </x:row>
    <x:row r="84" ht="23" customHeight="1">
      <x:c r="A84" s="2"/>
      <x:c r="B84" s="2"/>
      <x:c r="C84" s="2"/>
      <x:c r="D84" s="2"/>
      <x:c r="E84" s="2"/>
      <x:c r="F84" s="2"/>
    </x:row>
    <x:row r="85" ht="23" customHeight="1">
      <x:c r="A85" s="2"/>
      <x:c r="B85" s="2"/>
      <x:c r="C85" s="2"/>
      <x:c r="D85" s="2"/>
      <x:c r="E85" s="2"/>
      <x:c r="F85" s="2"/>
    </x:row>
    <x:row r="86" ht="23" customHeight="1">
      <x:c r="A86" s="2"/>
      <x:c r="B86" s="2"/>
      <x:c r="C86" s="2"/>
      <x:c r="D86" s="2"/>
      <x:c r="E86" s="2"/>
      <x:c r="F86" s="2"/>
    </x:row>
    <x:row r="87" ht="23" customHeight="1">
      <x:c r="A87" s="2"/>
      <x:c r="B87" s="2"/>
      <x:c r="C87" s="2"/>
      <x:c r="D87" s="2"/>
      <x:c r="E87" s="2"/>
      <x:c r="F87" s="2"/>
    </x:row>
    <x:row r="88" ht="23" customHeight="1">
      <x:c r="A88" s="2"/>
      <x:c r="B88" s="2"/>
      <x:c r="C88" s="2"/>
      <x:c r="D88" s="2"/>
      <x:c r="E88" s="2"/>
      <x:c r="F88" s="2"/>
    </x:row>
    <x:row r="89" ht="23" customHeight="1">
      <x:c r="A89" s="2"/>
      <x:c r="B89" s="2"/>
      <x:c r="C89" s="2"/>
      <x:c r="D89" s="2"/>
      <x:c r="E89" s="2"/>
      <x:c r="F89" s="2"/>
    </x:row>
    <x:row r="90" ht="23" customHeight="1">
      <x:c r="A90" s="2"/>
      <x:c r="B90" s="2"/>
      <x:c r="C90" s="2"/>
      <x:c r="D90" s="2"/>
      <x:c r="E90" s="2"/>
      <x:c r="F90" s="2"/>
    </x:row>
    <x:row r="91" ht="23" customHeight="1">
      <x:c r="A91" s="2"/>
      <x:c r="B91" s="2"/>
      <x:c r="C91" s="2"/>
      <x:c r="D91" s="2"/>
      <x:c r="E91" s="2"/>
      <x:c r="F91" s="2"/>
    </x:row>
    <x:row r="92" ht="23" customHeight="1">
      <x:c r="A92" s="2"/>
      <x:c r="B92" s="2"/>
      <x:c r="C92" s="2"/>
      <x:c r="D92" s="2"/>
      <x:c r="E92" s="2"/>
      <x:c r="F92" s="2"/>
    </x:row>
    <x:row r="93" ht="23" customHeight="1">
      <x:c r="A93" s="2"/>
      <x:c r="B93" s="2"/>
      <x:c r="C93" s="2"/>
      <x:c r="D93" s="2"/>
      <x:c r="E93" s="2"/>
      <x:c r="F93" s="2"/>
    </x:row>
    <x:row r="94" ht="23" customHeight="1">
      <x:c r="A94" s="2"/>
      <x:c r="B94" s="2"/>
      <x:c r="C94" s="2"/>
      <x:c r="D94" s="2"/>
      <x:c r="E94" s="2"/>
      <x:c r="F94" s="2"/>
    </x:row>
    <x:row r="95" ht="23" customHeight="1">
      <x:c r="A95" s="2"/>
      <x:c r="B95" s="2"/>
      <x:c r="C95" s="2"/>
      <x:c r="D95" s="2"/>
      <x:c r="E95" s="2"/>
      <x:c r="F95" s="2"/>
    </x:row>
    <x:row r="96" ht="23" customHeight="1">
      <x:c r="A96" s="2"/>
      <x:c r="B96" s="2"/>
      <x:c r="C96" s="2"/>
      <x:c r="D96" s="2"/>
      <x:c r="E96" s="2"/>
      <x:c r="F96" s="2"/>
    </x:row>
    <x:row r="97" ht="23" customHeight="1">
      <x:c r="A97" s="2"/>
      <x:c r="B97" s="2"/>
      <x:c r="C97" s="2"/>
      <x:c r="D97" s="2"/>
      <x:c r="E97" s="2"/>
      <x:c r="F97" s="2"/>
    </x:row>
    <x:row r="98" ht="23" customHeight="1">
      <x:c r="A98" s="2"/>
      <x:c r="B98" s="2"/>
      <x:c r="C98" s="2"/>
      <x:c r="D98" s="2"/>
      <x:c r="E98" s="2"/>
      <x:c r="F98" s="2"/>
    </x:row>
    <x:row r="99" ht="23" customHeight="1">
      <x:c r="A99" s="2"/>
      <x:c r="B99" s="2"/>
      <x:c r="C99" s="2"/>
      <x:c r="D99" s="2"/>
      <x:c r="E99" s="2"/>
      <x:c r="F99" s="2"/>
    </x:row>
    <x:row r="100" ht="23" customHeight="1">
      <x:c r="A100" s="2"/>
      <x:c r="B100" s="2"/>
      <x:c r="C100" s="2"/>
      <x:c r="D100" s="2"/>
      <x:c r="E100" s="2"/>
      <x:c r="F100" s="2"/>
    </x:row>
    <x:row r="101" ht="23" customHeight="1">
      <x:c r="A101" s="2"/>
      <x:c r="B101" s="2"/>
      <x:c r="C101" s="2"/>
      <x:c r="D101" s="2"/>
      <x:c r="E101" s="2"/>
      <x:c r="F101" s="2"/>
    </x:row>
    <x:row r="102" ht="23" customHeight="1">
      <x:c r="A102" s="2"/>
      <x:c r="B102" s="2"/>
      <x:c r="C102" s="2"/>
      <x:c r="D102" s="2"/>
      <x:c r="E102" s="2"/>
      <x:c r="F102" s="2"/>
    </x:row>
    <x:row r="103" ht="23" customHeight="1">
      <x:c r="A103" s="2"/>
      <x:c r="B103" s="2"/>
      <x:c r="C103" s="2"/>
      <x:c r="D103" s="2"/>
      <x:c r="E103" s="2"/>
      <x:c r="F103" s="2"/>
    </x:row>
    <x:row r="104" ht="23" customHeight="1">
      <x:c r="A104" s="2"/>
      <x:c r="B104" s="2"/>
      <x:c r="C104" s="2"/>
      <x:c r="D104" s="2"/>
      <x:c r="E104" s="2"/>
      <x:c r="F104" s="2"/>
    </x:row>
    <x:row r="105" ht="23" customHeight="1">
      <x:c r="A105" s="2"/>
      <x:c r="B105" s="2"/>
      <x:c r="C105" s="2"/>
      <x:c r="D105" s="2"/>
      <x:c r="E105" s="2"/>
      <x:c r="F105" s="2"/>
    </x:row>
    <x:row r="106" ht="23" customHeight="1">
      <x:c r="A106" s="2"/>
      <x:c r="B106" s="2"/>
      <x:c r="C106" s="2"/>
      <x:c r="D106" s="2"/>
      <x:c r="E106" s="2"/>
      <x:c r="F106" s="2"/>
    </x:row>
    <x:row r="107" ht="23" customHeight="1">
      <x:c r="A107" s="2"/>
      <x:c r="B107" s="2"/>
      <x:c r="C107" s="2"/>
      <x:c r="D107" s="2"/>
      <x:c r="E107" s="2"/>
      <x:c r="F107" s="2"/>
    </x:row>
    <x:row r="108" ht="23" customHeight="1">
      <x:c r="A108" s="2"/>
      <x:c r="B108" s="2"/>
      <x:c r="C108" s="2"/>
      <x:c r="D108" s="2"/>
      <x:c r="E108" s="2"/>
      <x:c r="F108" s="2"/>
    </x:row>
    <x:row r="109" ht="23" customHeight="1">
      <x:c r="A109" s="2"/>
      <x:c r="B109" s="2"/>
      <x:c r="C109" s="2"/>
      <x:c r="D109" s="2"/>
      <x:c r="E109" s="2"/>
      <x:c r="F109" s="2"/>
    </x:row>
    <x:row r="110" ht="23" customHeight="1">
      <x:c r="A110" s="2"/>
      <x:c r="B110" s="2"/>
      <x:c r="C110" s="2"/>
      <x:c r="D110" s="2"/>
      <x:c r="E110" s="2"/>
      <x:c r="F110" s="2"/>
    </x:row>
    <x:row r="111" ht="23" customHeight="1">
      <x:c r="A111" s="2"/>
      <x:c r="B111" s="2"/>
      <x:c r="C111" s="2"/>
      <x:c r="D111" s="2"/>
      <x:c r="E111" s="2"/>
      <x:c r="F111" s="2"/>
    </x:row>
    <x:row r="112" ht="23" customHeight="1">
      <x:c r="A112" s="2"/>
      <x:c r="B112" s="2"/>
      <x:c r="C112" s="2"/>
      <x:c r="D112" s="2"/>
      <x:c r="E112" s="2"/>
      <x:c r="F112" s="2"/>
    </x:row>
    <x:row r="113" ht="23" customHeight="1">
      <x:c r="A113" s="2"/>
      <x:c r="B113" s="2"/>
      <x:c r="C113" s="2"/>
      <x:c r="D113" s="2"/>
      <x:c r="E113" s="2"/>
      <x:c r="F113" s="2"/>
    </x:row>
    <x:row r="114" ht="23" customHeight="1">
      <x:c r="A114" s="2"/>
      <x:c r="B114" s="2"/>
      <x:c r="C114" s="2"/>
      <x:c r="D114" s="2"/>
      <x:c r="E114" s="2"/>
      <x:c r="F114" s="2"/>
    </x:row>
    <x:row r="115" ht="23" customHeight="1">
      <x:c r="A115" s="2"/>
      <x:c r="B115" s="2"/>
      <x:c r="C115" s="2"/>
      <x:c r="D115" s="2"/>
      <x:c r="E115" s="2"/>
      <x:c r="F115" s="2"/>
    </x:row>
    <x:row r="116" ht="23" customHeight="1">
      <x:c r="A116" s="2"/>
      <x:c r="B116" s="2"/>
      <x:c r="C116" s="2"/>
      <x:c r="D116" s="2"/>
      <x:c r="E116" s="2"/>
      <x:c r="F116" s="2"/>
    </x:row>
    <x:row r="117" ht="23" customHeight="1">
      <x:c r="A117" s="2"/>
      <x:c r="B117" s="2"/>
      <x:c r="C117" s="2"/>
      <x:c r="D117" s="2"/>
      <x:c r="E117" s="2"/>
      <x:c r="F117" s="2"/>
    </x:row>
    <x:row r="118" ht="23" customHeight="1">
      <x:c r="A118" s="2"/>
      <x:c r="B118" s="2"/>
      <x:c r="C118" s="2"/>
      <x:c r="D118" s="2"/>
      <x:c r="E118" s="2"/>
      <x:c r="F118" s="2"/>
    </x:row>
    <x:row r="119" ht="23" customHeight="1">
      <x:c r="A119" s="2"/>
      <x:c r="B119" s="2"/>
      <x:c r="C119" s="2"/>
      <x:c r="D119" s="2"/>
      <x:c r="E119" s="2"/>
      <x:c r="F119" s="2"/>
    </x:row>
    <x:row r="120" ht="23" customHeight="1">
      <x:c r="A120" s="2"/>
      <x:c r="B120" s="2"/>
      <x:c r="C120" s="2"/>
      <x:c r="D120" s="2"/>
      <x:c r="E120" s="2"/>
      <x:c r="F120" s="2"/>
    </x:row>
    <x:row r="121" ht="23" customHeight="1">
      <x:c r="A121" s="2"/>
      <x:c r="B121" s="2"/>
      <x:c r="C121" s="2"/>
      <x:c r="D121" s="2"/>
      <x:c r="E121" s="2"/>
      <x:c r="F121" s="2"/>
    </x:row>
    <x:row r="122" ht="23" customHeight="1">
      <x:c r="A122" s="2"/>
      <x:c r="B122" s="2"/>
      <x:c r="C122" s="2"/>
      <x:c r="D122" s="2"/>
      <x:c r="E122" s="2"/>
      <x:c r="F122" s="2"/>
    </x:row>
    <x:row r="123" ht="23" customHeight="1">
      <x:c r="A123" s="2"/>
      <x:c r="B123" s="2"/>
      <x:c r="C123" s="2"/>
      <x:c r="D123" s="2"/>
      <x:c r="E123" s="2"/>
      <x:c r="F123" s="2"/>
    </x:row>
    <x:row r="124" ht="23" customHeight="1">
      <x:c r="A124" s="2"/>
      <x:c r="B124" s="2"/>
      <x:c r="C124" s="2"/>
      <x:c r="D124" s="2"/>
      <x:c r="E124" s="2"/>
      <x:c r="F124" s="2"/>
    </x:row>
    <x:row r="125" ht="23" customHeight="1">
      <x:c r="A125" s="2"/>
      <x:c r="B125" s="2"/>
      <x:c r="C125" s="2"/>
      <x:c r="D125" s="2"/>
      <x:c r="E125" s="2"/>
      <x:c r="F125" s="2"/>
    </x:row>
    <x:row r="126" ht="23" customHeight="1">
      <x:c r="A126" s="2"/>
      <x:c r="B126" s="2"/>
      <x:c r="C126" s="2"/>
      <x:c r="D126" s="2"/>
      <x:c r="E126" s="2"/>
      <x:c r="F126" s="2"/>
    </x:row>
    <x:row r="127" ht="23" customHeight="1">
      <x:c r="A127" s="2"/>
      <x:c r="B127" s="2"/>
      <x:c r="C127" s="2"/>
      <x:c r="D127" s="2"/>
      <x:c r="E127" s="2"/>
      <x:c r="F127" s="2"/>
    </x:row>
    <x:row r="128" ht="23" customHeight="1">
      <x:c r="A128" s="2"/>
      <x:c r="B128" s="2"/>
      <x:c r="C128" s="2"/>
      <x:c r="D128" s="2"/>
      <x:c r="E128" s="2"/>
      <x:c r="F128" s="2"/>
    </x:row>
    <x:row r="129" ht="23" customHeight="1">
      <x:c r="A129" s="2"/>
      <x:c r="B129" s="2"/>
      <x:c r="C129" s="2"/>
      <x:c r="D129" s="2"/>
      <x:c r="E129" s="2"/>
      <x:c r="F129" s="2"/>
    </x:row>
    <x:row r="130" ht="23" customHeight="1">
      <x:c r="A130" s="2"/>
      <x:c r="B130" s="2"/>
      <x:c r="C130" s="2"/>
      <x:c r="D130" s="2"/>
      <x:c r="E130" s="2"/>
      <x:c r="F130" s="2"/>
    </x:row>
    <x:row r="131" ht="23" customHeight="1">
      <x:c r="A131" s="2"/>
      <x:c r="B131" s="2"/>
      <x:c r="C131" s="2"/>
      <x:c r="D131" s="2"/>
      <x:c r="E131" s="2"/>
      <x:c r="F131" s="2"/>
    </x:row>
    <x:row r="132" ht="23" customHeight="1">
      <x:c r="A132" s="2"/>
      <x:c r="B132" s="2"/>
      <x:c r="C132" s="2"/>
      <x:c r="D132" s="2"/>
      <x:c r="E132" s="2"/>
      <x:c r="F132" s="2"/>
    </x:row>
    <x:row r="133" ht="23" customHeight="1">
      <x:c r="A133" s="2"/>
      <x:c r="B133" s="2"/>
      <x:c r="C133" s="2"/>
      <x:c r="D133" s="2"/>
      <x:c r="E133" s="2"/>
      <x:c r="F133" s="2"/>
    </x:row>
    <x:row r="134" ht="23" customHeight="1">
      <x:c r="A134" s="2"/>
      <x:c r="B134" s="2"/>
      <x:c r="C134" s="2"/>
      <x:c r="D134" s="2"/>
      <x:c r="E134" s="2"/>
      <x:c r="F134" s="2"/>
    </x:row>
    <x:row r="135" ht="23" customHeight="1">
      <x:c r="A135" s="2"/>
      <x:c r="B135" s="2"/>
      <x:c r="C135" s="2"/>
      <x:c r="D135" s="2"/>
      <x:c r="E135" s="2"/>
      <x:c r="F135" s="2"/>
    </x:row>
    <x:row r="136" ht="23" customHeight="1">
      <x:c r="A136" s="2"/>
      <x:c r="B136" s="2"/>
      <x:c r="C136" s="2"/>
      <x:c r="D136" s="2"/>
      <x:c r="E136" s="2"/>
      <x:c r="F136" s="2"/>
    </x:row>
    <x:row r="137" ht="23" customHeight="1">
      <x:c r="A137" s="2"/>
      <x:c r="B137" s="2"/>
      <x:c r="C137" s="2"/>
      <x:c r="D137" s="2"/>
      <x:c r="E137" s="2"/>
      <x:c r="F137" s="2"/>
    </x:row>
    <x:row r="138" ht="23" customHeight="1">
      <x:c r="A138" s="2"/>
      <x:c r="B138" s="2"/>
      <x:c r="C138" s="2"/>
      <x:c r="D138" s="2"/>
      <x:c r="E138" s="2"/>
      <x:c r="F138" s="2"/>
    </x:row>
    <x:row r="139" ht="23" customHeight="1">
      <x:c r="A139" s="2"/>
      <x:c r="B139" s="2"/>
      <x:c r="C139" s="2"/>
      <x:c r="D139" s="2"/>
      <x:c r="E139" s="2"/>
      <x:c r="F139" s="2"/>
    </x:row>
    <x:row r="140" ht="23" customHeight="1">
      <x:c r="A140" s="2"/>
      <x:c r="B140" s="2"/>
      <x:c r="C140" s="2"/>
      <x:c r="D140" s="2"/>
      <x:c r="E140" s="2"/>
      <x:c r="F140" s="2"/>
    </x:row>
    <x:row r="141" ht="23" customHeight="1">
      <x:c r="A141" s="2"/>
      <x:c r="B141" s="2"/>
      <x:c r="C141" s="2"/>
      <x:c r="D141" s="2"/>
      <x:c r="E141" s="2"/>
      <x:c r="F141" s="2"/>
    </x:row>
    <x:row r="142" ht="23" customHeight="1">
      <x:c r="A142" s="2"/>
      <x:c r="B142" s="2"/>
      <x:c r="C142" s="2"/>
      <x:c r="D142" s="2"/>
      <x:c r="E142" s="2"/>
      <x:c r="F142" s="2"/>
    </x:row>
    <x:row r="143" ht="23" customHeight="1">
      <x:c r="A143" s="2"/>
      <x:c r="B143" s="2"/>
      <x:c r="C143" s="2"/>
      <x:c r="D143" s="2"/>
      <x:c r="E143" s="2"/>
      <x:c r="F143" s="2"/>
    </x:row>
    <x:row r="144" ht="23" customHeight="1">
      <x:c r="A144" s="2"/>
      <x:c r="B144" s="2"/>
      <x:c r="C144" s="2"/>
      <x:c r="D144" s="2"/>
      <x:c r="E144" s="2"/>
      <x:c r="F144" s="2"/>
    </x:row>
    <x:row r="145" ht="23" customHeight="1">
      <x:c r="A145" s="2"/>
      <x:c r="B145" s="2"/>
      <x:c r="C145" s="2"/>
      <x:c r="D145" s="2"/>
      <x:c r="E145" s="2"/>
      <x:c r="F145" s="2"/>
    </x:row>
    <x:row r="146" ht="23" customHeight="1">
      <x:c r="A146" s="2"/>
      <x:c r="B146" s="2"/>
      <x:c r="C146" s="2"/>
      <x:c r="D146" s="2"/>
      <x:c r="E146" s="2"/>
      <x:c r="F146" s="2"/>
    </x:row>
    <x:row r="147" ht="23" customHeight="1">
      <x:c r="A147" s="2"/>
      <x:c r="B147" s="2"/>
      <x:c r="C147" s="2"/>
      <x:c r="D147" s="2"/>
      <x:c r="E147" s="2"/>
      <x:c r="F147" s="2"/>
    </x:row>
    <x:row r="148" ht="23" customHeight="1">
      <x:c r="A148" s="2"/>
      <x:c r="B148" s="2"/>
      <x:c r="C148" s="2"/>
      <x:c r="D148" s="2"/>
      <x:c r="E148" s="2"/>
      <x:c r="F148" s="2"/>
    </x:row>
    <x:row r="149" ht="23" customHeight="1">
      <x:c r="A149" s="2"/>
      <x:c r="B149" s="2"/>
      <x:c r="C149" s="2"/>
      <x:c r="D149" s="2"/>
      <x:c r="E149" s="2"/>
      <x:c r="F149" s="2"/>
    </x:row>
    <x:row r="150" ht="23" customHeight="1">
      <x:c r="A150" s="2"/>
      <x:c r="B150" s="2"/>
      <x:c r="C150" s="2"/>
      <x:c r="D150" s="2"/>
      <x:c r="E150" s="2"/>
      <x:c r="F150" s="2"/>
    </x:row>
    <x:row r="151" ht="23" customHeight="1">
      <x:c r="A151" s="2"/>
      <x:c r="B151" s="2"/>
      <x:c r="C151" s="2"/>
      <x:c r="D151" s="2"/>
      <x:c r="E151" s="2"/>
      <x:c r="F151" s="2"/>
    </x:row>
    <x:row r="152" ht="23" customHeight="1">
      <x:c r="A152" s="2"/>
      <x:c r="B152" s="2"/>
      <x:c r="C152" s="2"/>
      <x:c r="D152" s="2"/>
      <x:c r="E152" s="2"/>
      <x:c r="F152" s="2"/>
    </x:row>
    <x:row r="153" ht="23" customHeight="1">
      <x:c r="A153" s="2"/>
      <x:c r="B153" s="2"/>
      <x:c r="C153" s="2"/>
      <x:c r="D153" s="2"/>
      <x:c r="E153" s="2"/>
      <x:c r="F153" s="2"/>
    </x:row>
    <x:row r="154" ht="23" customHeight="1">
      <x:c r="A154" s="2"/>
      <x:c r="B154" s="2"/>
      <x:c r="C154" s="2"/>
      <x:c r="D154" s="2"/>
      <x:c r="E154" s="2"/>
      <x:c r="F154" s="2"/>
    </x:row>
    <x:row r="155" ht="23" customHeight="1">
      <x:c r="A155" s="2"/>
      <x:c r="B155" s="2"/>
      <x:c r="C155" s="2"/>
      <x:c r="D155" s="2"/>
      <x:c r="E155" s="2"/>
      <x:c r="F155" s="2"/>
    </x:row>
    <x:row r="156" ht="23" customHeight="1">
      <x:c r="A156" s="2"/>
      <x:c r="B156" s="2"/>
      <x:c r="C156" s="2"/>
      <x:c r="D156" s="2"/>
      <x:c r="E156" s="2"/>
      <x:c r="F156" s="2"/>
    </x:row>
    <x:row r="157" ht="23" customHeight="1">
      <x:c r="A157" s="2"/>
      <x:c r="B157" s="2"/>
      <x:c r="C157" s="2"/>
      <x:c r="D157" s="2"/>
      <x:c r="E157" s="2"/>
      <x:c r="F157" s="2"/>
    </x:row>
    <x:row r="158" ht="23" customHeight="1">
      <x:c r="A158" s="2"/>
      <x:c r="B158" s="2"/>
      <x:c r="C158" s="2"/>
      <x:c r="D158" s="2"/>
      <x:c r="E158" s="2"/>
      <x:c r="F158" s="2"/>
    </x:row>
    <x:row r="159" ht="23" customHeight="1">
      <x:c r="A159" s="2"/>
      <x:c r="B159" s="2"/>
      <x:c r="C159" s="2"/>
      <x:c r="D159" s="2"/>
      <x:c r="E159" s="2"/>
      <x:c r="F159" s="2"/>
    </x:row>
    <x:row r="160" ht="23" customHeight="1">
      <x:c r="A160" s="2"/>
      <x:c r="B160" s="2"/>
      <x:c r="C160" s="2"/>
      <x:c r="D160" s="2"/>
      <x:c r="E160" s="2"/>
      <x:c r="F160" s="2"/>
    </x:row>
    <x:row r="161" ht="23" customHeight="1">
      <x:c r="A161" s="2"/>
      <x:c r="B161" s="2"/>
      <x:c r="C161" s="2"/>
      <x:c r="D161" s="2"/>
      <x:c r="E161" s="2"/>
      <x:c r="F161" s="2"/>
    </x:row>
    <x:row r="162" ht="23" customHeight="1">
      <x:c r="A162" s="2"/>
      <x:c r="B162" s="2"/>
      <x:c r="C162" s="2"/>
      <x:c r="D162" s="2"/>
      <x:c r="E162" s="2"/>
      <x:c r="F162" s="2"/>
    </x:row>
    <x:row r="163" ht="23" customHeight="1">
      <x:c r="A163" s="2"/>
      <x:c r="B163" s="2"/>
      <x:c r="C163" s="2"/>
      <x:c r="D163" s="2"/>
      <x:c r="E163" s="2"/>
      <x:c r="F163" s="2"/>
    </x:row>
    <x:row r="164" ht="23" customHeight="1">
      <x:c r="A164" s="2"/>
      <x:c r="B164" s="2"/>
      <x:c r="C164" s="2"/>
      <x:c r="D164" s="2"/>
      <x:c r="E164" s="2"/>
      <x:c r="F164" s="2"/>
    </x:row>
    <x:row r="165" ht="23" customHeight="1">
      <x:c r="A165" s="2"/>
      <x:c r="B165" s="2"/>
      <x:c r="C165" s="2"/>
      <x:c r="D165" s="2"/>
      <x:c r="E165" s="2"/>
      <x:c r="F165" s="2"/>
    </x:row>
    <x:row r="166" ht="23" customHeight="1">
      <x:c r="A166" s="2"/>
      <x:c r="B166" s="2"/>
      <x:c r="C166" s="2"/>
      <x:c r="D166" s="2"/>
      <x:c r="E166" s="2"/>
      <x:c r="F166" s="2"/>
    </x:row>
    <x:row r="167" ht="23" customHeight="1">
      <x:c r="A167" s="2"/>
      <x:c r="B167" s="2"/>
      <x:c r="C167" s="2"/>
      <x:c r="D167" s="2"/>
      <x:c r="E167" s="2"/>
      <x:c r="F167" s="2"/>
    </x:row>
    <x:row r="168" ht="23" customHeight="1">
      <x:c r="A168" s="2"/>
      <x:c r="B168" s="2"/>
      <x:c r="C168" s="2"/>
      <x:c r="D168" s="2"/>
      <x:c r="E168" s="2"/>
      <x:c r="F168" s="2"/>
    </x:row>
    <x:row r="169" ht="23" customHeight="1">
      <x:c r="A169" s="2"/>
      <x:c r="B169" s="2"/>
      <x:c r="C169" s="2"/>
      <x:c r="D169" s="2"/>
      <x:c r="E169" s="2"/>
      <x:c r="F169" s="2"/>
    </x:row>
    <x:row r="170" ht="23" customHeight="1">
      <x:c r="A170" s="2"/>
      <x:c r="B170" s="2"/>
      <x:c r="C170" s="2"/>
      <x:c r="D170" s="2"/>
      <x:c r="E170" s="2"/>
      <x:c r="F170" s="2"/>
    </x:row>
    <x:row r="171" ht="23" customHeight="1">
      <x:c r="A171" s="2"/>
      <x:c r="B171" s="2"/>
      <x:c r="C171" s="2"/>
      <x:c r="D171" s="2"/>
      <x:c r="E171" s="2"/>
      <x:c r="F171" s="2"/>
    </x:row>
    <x:row r="172" ht="23" customHeight="1">
      <x:c r="A172" s="2"/>
      <x:c r="B172" s="2"/>
      <x:c r="C172" s="2"/>
      <x:c r="D172" s="2"/>
      <x:c r="E172" s="2"/>
      <x:c r="F172" s="2"/>
    </x:row>
    <x:row r="173" ht="23" customHeight="1">
      <x:c r="A173" s="2"/>
      <x:c r="B173" s="2"/>
      <x:c r="C173" s="2"/>
      <x:c r="D173" s="2"/>
      <x:c r="E173" s="2"/>
      <x:c r="F173" s="2"/>
    </x:row>
    <x:row r="174" ht="23" customHeight="1">
      <x:c r="A174" s="2"/>
      <x:c r="B174" s="2"/>
      <x:c r="C174" s="2"/>
      <x:c r="D174" s="2"/>
      <x:c r="E174" s="2"/>
      <x:c r="F174" s="2"/>
    </x:row>
    <x:row r="175" ht="23" customHeight="1">
      <x:c r="A175" s="2"/>
      <x:c r="B175" s="2"/>
      <x:c r="C175" s="2"/>
      <x:c r="D175" s="2"/>
      <x:c r="E175" s="2"/>
      <x:c r="F175" s="2"/>
    </x:row>
    <x:row r="176" ht="23" customHeight="1">
      <x:c r="A176" s="2"/>
      <x:c r="B176" s="2"/>
      <x:c r="C176" s="2"/>
      <x:c r="D176" s="2"/>
      <x:c r="E176" s="2"/>
      <x:c r="F176" s="2"/>
    </x:row>
    <x:row r="177" ht="23" customHeight="1">
      <x:c r="A177" s="2"/>
      <x:c r="B177" s="2"/>
      <x:c r="C177" s="2"/>
      <x:c r="D177" s="2"/>
      <x:c r="E177" s="2"/>
      <x:c r="F177" s="2"/>
    </x:row>
    <x:row r="178" ht="23" customHeight="1">
      <x:c r="A178" s="2"/>
      <x:c r="B178" s="2"/>
      <x:c r="C178" s="2"/>
      <x:c r="D178" s="2"/>
      <x:c r="E178" s="2"/>
      <x:c r="F178" s="2"/>
    </x:row>
    <x:row r="179" ht="23" customHeight="1">
      <x:c r="A179" s="2"/>
      <x:c r="B179" s="2"/>
      <x:c r="C179" s="2"/>
      <x:c r="D179" s="2"/>
      <x:c r="E179" s="2"/>
      <x:c r="F179" s="2"/>
    </x:row>
    <x:row r="180" ht="23" customHeight="1">
      <x:c r="A180" s="2"/>
      <x:c r="B180" s="2"/>
      <x:c r="C180" s="2"/>
      <x:c r="D180" s="2"/>
      <x:c r="E180" s="2"/>
      <x:c r="F180" s="2"/>
    </x:row>
    <x:row r="181" ht="23" customHeight="1">
      <x:c r="A181" s="2"/>
      <x:c r="B181" s="2"/>
      <x:c r="C181" s="2"/>
      <x:c r="D181" s="2"/>
      <x:c r="E181" s="2"/>
      <x:c r="F181" s="2"/>
    </x:row>
    <x:row r="182" ht="23" customHeight="1">
      <x:c r="A182" s="2"/>
      <x:c r="B182" s="2"/>
      <x:c r="C182" s="2"/>
      <x:c r="D182" s="2"/>
      <x:c r="E182" s="2"/>
      <x:c r="F182" s="2"/>
    </x:row>
    <x:row r="183" ht="23" customHeight="1">
      <x:c r="A183" s="2"/>
      <x:c r="B183" s="2"/>
      <x:c r="C183" s="2"/>
      <x:c r="D183" s="2"/>
      <x:c r="E183" s="2"/>
      <x:c r="F183" s="2"/>
    </x:row>
    <x:row r="184" ht="23" customHeight="1">
      <x:c r="A184" s="2"/>
      <x:c r="B184" s="2"/>
      <x:c r="C184" s="2"/>
      <x:c r="D184" s="2"/>
      <x:c r="E184" s="2"/>
      <x:c r="F184" s="2"/>
    </x:row>
    <x:row r="185" ht="23" customHeight="1">
      <x:c r="A185" s="2"/>
      <x:c r="B185" s="2"/>
      <x:c r="C185" s="2"/>
      <x:c r="D185" s="2"/>
      <x:c r="E185" s="2"/>
      <x:c r="F185" s="2"/>
    </x:row>
    <x:row r="186" ht="23" customHeight="1">
      <x:c r="A186" s="2"/>
      <x:c r="B186" s="2"/>
      <x:c r="C186" s="2"/>
      <x:c r="D186" s="2"/>
      <x:c r="E186" s="2"/>
      <x:c r="F186" s="2"/>
    </x:row>
    <x:row r="187" ht="23" customHeight="1">
      <x:c r="A187" s="2"/>
      <x:c r="B187" s="2"/>
      <x:c r="C187" s="2"/>
      <x:c r="D187" s="2"/>
      <x:c r="E187" s="2"/>
      <x:c r="F187" s="2"/>
    </x:row>
    <x:row r="188" ht="23" customHeight="1">
      <x:c r="A188" s="2"/>
      <x:c r="B188" s="2"/>
      <x:c r="C188" s="2"/>
      <x:c r="D188" s="2"/>
      <x:c r="E188" s="2"/>
      <x:c r="F188" s="2"/>
    </x:row>
    <x:row r="189" ht="23" customHeight="1">
      <x:c r="A189" s="2"/>
      <x:c r="B189" s="2"/>
      <x:c r="C189" s="2"/>
      <x:c r="D189" s="2"/>
      <x:c r="E189" s="2"/>
      <x:c r="F189" s="2"/>
    </x:row>
    <x:row r="190" ht="23" customHeight="1">
      <x:c r="A190" s="2"/>
      <x:c r="B190" s="2"/>
      <x:c r="C190" s="2"/>
      <x:c r="D190" s="2"/>
      <x:c r="E190" s="2"/>
      <x:c r="F190" s="2"/>
    </x:row>
    <x:row r="191" ht="23" customHeight="1">
      <x:c r="A191" s="2"/>
      <x:c r="B191" s="2"/>
      <x:c r="C191" s="2"/>
      <x:c r="D191" s="2"/>
      <x:c r="E191" s="2"/>
      <x:c r="F191" s="2"/>
    </x:row>
    <x:row r="192" ht="23" customHeight="1">
      <x:c r="A192" s="2"/>
      <x:c r="B192" s="2"/>
      <x:c r="C192" s="2"/>
      <x:c r="D192" s="2"/>
      <x:c r="E192" s="2"/>
      <x:c r="F192" s="2"/>
    </x:row>
    <x:row r="193" ht="23" customHeight="1">
      <x:c r="A193" s="2"/>
      <x:c r="B193" s="2"/>
      <x:c r="C193" s="2"/>
      <x:c r="D193" s="2"/>
      <x:c r="E193" s="2"/>
      <x:c r="F193" s="2"/>
    </x:row>
    <x:row r="194" ht="23" customHeight="1">
      <x:c r="A194" s="2"/>
      <x:c r="B194" s="2"/>
      <x:c r="C194" s="2"/>
      <x:c r="D194" s="2"/>
      <x:c r="E194" s="2"/>
      <x:c r="F194" s="2"/>
    </x:row>
    <x:row r="195" ht="23" customHeight="1">
      <x:c r="A195" s="2"/>
      <x:c r="B195" s="2"/>
      <x:c r="C195" s="2"/>
      <x:c r="D195" s="2"/>
      <x:c r="E195" s="2"/>
      <x:c r="F195" s="2"/>
    </x:row>
    <x:row r="196" ht="23" customHeight="1">
      <x:c r="A196" s="2"/>
      <x:c r="B196" s="2"/>
      <x:c r="C196" s="2"/>
      <x:c r="D196" s="2"/>
      <x:c r="E196" s="2"/>
      <x:c r="F196" s="2"/>
    </x:row>
    <x:row r="197" ht="23" customHeight="1">
      <x:c r="A197" s="2"/>
      <x:c r="B197" s="2"/>
      <x:c r="C197" s="2"/>
      <x:c r="D197" s="2"/>
      <x:c r="E197" s="2"/>
      <x:c r="F197" s="2"/>
    </x:row>
    <x:row r="198" ht="23" customHeight="1">
      <x:c r="A198" s="2"/>
      <x:c r="B198" s="2"/>
      <x:c r="C198" s="2"/>
      <x:c r="D198" s="2"/>
      <x:c r="E198" s="2"/>
      <x:c r="F198" s="2"/>
    </x:row>
    <x:row r="199" ht="23" customHeight="1">
      <x:c r="A199" s="2"/>
      <x:c r="B199" s="2"/>
      <x:c r="C199" s="2"/>
      <x:c r="D199" s="2"/>
      <x:c r="E199" s="2"/>
      <x:c r="F199" s="2"/>
    </x:row>
    <x:row r="200" ht="23" customHeight="1">
      <x:c r="A200" s="2"/>
      <x:c r="B200" s="2"/>
      <x:c r="C200" s="2"/>
      <x:c r="D200" s="2"/>
      <x:c r="E200" s="2"/>
      <x:c r="F200" s="2"/>
    </x:row>
    <x:row r="201" ht="23" customHeight="1">
      <x:c r="A201" s="2"/>
      <x:c r="B201" s="2"/>
      <x:c r="C201" s="2"/>
      <x:c r="D201" s="2"/>
      <x:c r="E201" s="2"/>
      <x:c r="F201" s="2"/>
    </x:row>
    <x:row r="202" ht="23" customHeight="1">
      <x:c r="A202" s="2"/>
      <x:c r="B202" s="2"/>
      <x:c r="C202" s="2"/>
      <x:c r="D202" s="2"/>
      <x:c r="E202" s="2"/>
      <x:c r="F202" s="2"/>
    </x:row>
    <x:row r="203" ht="23" customHeight="1">
      <x:c r="A203" s="2"/>
      <x:c r="B203" s="2"/>
      <x:c r="C203" s="2"/>
      <x:c r="D203" s="2"/>
      <x:c r="E203" s="2"/>
      <x:c r="F203" s="2"/>
    </x:row>
    <x:row r="204" ht="23" customHeight="1">
      <x:c r="A204" s="2"/>
      <x:c r="B204" s="2"/>
      <x:c r="C204" s="2"/>
      <x:c r="D204" s="2"/>
      <x:c r="E204" s="2"/>
      <x:c r="F204" s="2"/>
    </x:row>
    <x:row r="205" ht="23" customHeight="1">
      <x:c r="A205" s="2"/>
      <x:c r="B205" s="2"/>
      <x:c r="C205" s="2"/>
      <x:c r="D205" s="2"/>
      <x:c r="E205" s="2"/>
      <x:c r="F205" s="2"/>
    </x:row>
    <x:row r="206" ht="23" customHeight="1">
      <x:c r="A206" s="2"/>
      <x:c r="B206" s="2"/>
      <x:c r="C206" s="2"/>
      <x:c r="D206" s="2"/>
      <x:c r="E206" s="2"/>
      <x:c r="F206" s="2"/>
    </x:row>
    <x:row r="207" ht="23" customHeight="1">
      <x:c r="A207" s="2"/>
      <x:c r="B207" s="2"/>
      <x:c r="C207" s="2"/>
      <x:c r="D207" s="2"/>
      <x:c r="E207" s="2"/>
      <x:c r="F207" s="2"/>
    </x:row>
    <x:row r="208" ht="23" customHeight="1">
      <x:c r="A208" s="2"/>
      <x:c r="B208" s="2"/>
      <x:c r="C208" s="2"/>
      <x:c r="D208" s="2"/>
      <x:c r="E208" s="2"/>
      <x:c r="F208" s="2"/>
    </x:row>
    <x:row r="209" ht="23" customHeight="1">
      <x:c r="A209" s="2"/>
      <x:c r="B209" s="2"/>
      <x:c r="C209" s="2"/>
      <x:c r="D209" s="2"/>
      <x:c r="E209" s="2"/>
      <x:c r="F209" s="2"/>
    </x:row>
    <x:row r="210" ht="23" customHeight="1">
      <x:c r="A210" s="2"/>
      <x:c r="B210" s="2"/>
      <x:c r="C210" s="2"/>
      <x:c r="D210" s="2"/>
      <x:c r="E210" s="2"/>
      <x:c r="F210" s="2"/>
    </x:row>
    <x:row r="211" ht="23" customHeight="1">
      <x:c r="A211" s="2"/>
      <x:c r="B211" s="2"/>
      <x:c r="C211" s="2"/>
      <x:c r="D211" s="2"/>
      <x:c r="E211" s="2"/>
      <x:c r="F211" s="2"/>
    </x:row>
    <x:row r="212" ht="23" customHeight="1">
      <x:c r="A212" s="2"/>
      <x:c r="B212" s="2"/>
      <x:c r="C212" s="2"/>
      <x:c r="D212" s="2"/>
      <x:c r="E212" s="2"/>
      <x:c r="F212" s="2"/>
    </x:row>
    <x:row r="213" ht="23" customHeight="1">
      <x:c r="A213" s="2"/>
      <x:c r="B213" s="2"/>
      <x:c r="C213" s="2"/>
      <x:c r="D213" s="2"/>
      <x:c r="E213" s="2"/>
      <x:c r="F213" s="2"/>
    </x:row>
    <x:row r="214" ht="23" customHeight="1">
      <x:c r="A214" s="2"/>
      <x:c r="B214" s="2"/>
      <x:c r="C214" s="2"/>
      <x:c r="D214" s="2"/>
      <x:c r="E214" s="2"/>
      <x:c r="F214" s="2"/>
    </x:row>
    <x:row r="215" ht="23" customHeight="1">
      <x:c r="A215" s="2"/>
      <x:c r="B215" s="2"/>
      <x:c r="C215" s="2"/>
      <x:c r="D215" s="2"/>
      <x:c r="E215" s="2"/>
      <x:c r="F215" s="2"/>
    </x:row>
    <x:row r="216" ht="23" customHeight="1">
      <x:c r="A216" s="2"/>
      <x:c r="B216" s="2"/>
      <x:c r="C216" s="2"/>
      <x:c r="D216" s="2"/>
      <x:c r="E216" s="2"/>
      <x:c r="F216" s="2"/>
    </x:row>
    <x:row r="217" ht="23" customHeight="1">
      <x:c r="A217" s="2"/>
      <x:c r="B217" s="2"/>
      <x:c r="C217" s="2"/>
      <x:c r="D217" s="2"/>
      <x:c r="E217" s="2"/>
      <x:c r="F217" s="2"/>
    </x:row>
    <x:row r="218" ht="23" customHeight="1">
      <x:c r="A218" s="2"/>
      <x:c r="B218" s="2"/>
      <x:c r="C218" s="2"/>
      <x:c r="D218" s="2"/>
      <x:c r="E218" s="2"/>
      <x:c r="F218" s="2"/>
    </x:row>
    <x:row r="219" ht="23" customHeight="1">
      <x:c r="A219" s="2"/>
      <x:c r="B219" s="2"/>
      <x:c r="C219" s="2"/>
      <x:c r="D219" s="2"/>
      <x:c r="E219" s="2"/>
      <x:c r="F219" s="2"/>
    </x:row>
    <x:row r="220" ht="23" customHeight="1">
      <x:c r="A220" s="2"/>
      <x:c r="B220" s="2"/>
      <x:c r="C220" s="2"/>
      <x:c r="D220" s="2"/>
      <x:c r="E220" s="2"/>
      <x:c r="F220" s="2"/>
    </x:row>
    <x:row r="221" ht="23" customHeight="1">
      <x:c r="A221" s="2"/>
      <x:c r="B221" s="2"/>
      <x:c r="C221" s="2"/>
      <x:c r="D221" s="2"/>
      <x:c r="E221" s="2"/>
      <x:c r="F221" s="2"/>
    </x:row>
    <x:row r="222" ht="23" customHeight="1">
      <x:c r="A222" s="2"/>
      <x:c r="B222" s="2"/>
      <x:c r="C222" s="2"/>
      <x:c r="D222" s="2"/>
      <x:c r="E222" s="2"/>
      <x:c r="F222" s="2"/>
    </x:row>
    <x:row r="223" ht="23" customHeight="1">
      <x:c r="A223" s="2"/>
      <x:c r="B223" s="2"/>
      <x:c r="C223" s="2"/>
      <x:c r="D223" s="2"/>
      <x:c r="E223" s="2"/>
      <x:c r="F223" s="2"/>
    </x:row>
    <x:row r="224" ht="23" customHeight="1">
      <x:c r="A224" s="2"/>
      <x:c r="B224" s="2"/>
      <x:c r="C224" s="2"/>
      <x:c r="D224" s="2"/>
      <x:c r="E224" s="2"/>
      <x:c r="F224" s="2"/>
    </x:row>
    <x:row r="225" ht="23" customHeight="1">
      <x:c r="A225" s="2"/>
      <x:c r="B225" s="2"/>
      <x:c r="C225" s="2"/>
      <x:c r="D225" s="2"/>
      <x:c r="E225" s="2"/>
      <x:c r="F225" s="2"/>
    </x:row>
    <x:row r="226" ht="23" customHeight="1">
      <x:c r="A226" s="2"/>
      <x:c r="B226" s="2"/>
      <x:c r="C226" s="2"/>
      <x:c r="D226" s="2"/>
      <x:c r="E226" s="2"/>
      <x:c r="F226" s="2"/>
    </x:row>
    <x:row r="227" ht="23" customHeight="1">
      <x:c r="A227" s="2"/>
      <x:c r="B227" s="2"/>
      <x:c r="C227" s="2"/>
      <x:c r="D227" s="2"/>
      <x:c r="E227" s="2"/>
      <x:c r="F227" s="2"/>
    </x:row>
    <x:row r="228" ht="23" customHeight="1">
      <x:c r="A228" s="2"/>
      <x:c r="B228" s="2"/>
      <x:c r="C228" s="2"/>
      <x:c r="D228" s="2"/>
      <x:c r="E228" s="2"/>
      <x:c r="F228" s="2"/>
    </x:row>
    <x:row r="229" ht="23" customHeight="1">
      <x:c r="A229" s="2"/>
      <x:c r="B229" s="2"/>
      <x:c r="C229" s="2"/>
      <x:c r="D229" s="2"/>
      <x:c r="E229" s="2"/>
      <x:c r="F229" s="2"/>
    </x:row>
    <x:row r="230" ht="23" customHeight="1">
      <x:c r="A230" s="2"/>
      <x:c r="B230" s="2"/>
      <x:c r="C230" s="2"/>
      <x:c r="D230" s="2"/>
      <x:c r="E230" s="2"/>
      <x:c r="F230" s="2"/>
    </x:row>
    <x:row r="231" ht="23" customHeight="1">
      <x:c r="A231" s="2"/>
      <x:c r="B231" s="2"/>
      <x:c r="C231" s="2"/>
      <x:c r="D231" s="2"/>
      <x:c r="E231" s="2"/>
      <x:c r="F231" s="2"/>
    </x:row>
    <x:row r="232" ht="23" customHeight="1">
      <x:c r="A232" s="2"/>
      <x:c r="B232" s="2"/>
      <x:c r="C232" s="2"/>
      <x:c r="D232" s="2"/>
      <x:c r="E232" s="2"/>
      <x:c r="F232" s="2"/>
    </x:row>
    <x:row r="233" ht="23" customHeight="1">
      <x:c r="A233" s="2"/>
      <x:c r="B233" s="2"/>
      <x:c r="C233" s="2"/>
      <x:c r="D233" s="2"/>
      <x:c r="E233" s="2"/>
      <x:c r="F233" s="2"/>
    </x:row>
    <x:row r="234" ht="23" customHeight="1">
      <x:c r="A234" s="2"/>
      <x:c r="B234" s="2"/>
      <x:c r="C234" s="2"/>
      <x:c r="D234" s="2"/>
      <x:c r="E234" s="2"/>
      <x:c r="F234" s="2"/>
    </x:row>
    <x:row r="235" ht="23" customHeight="1">
      <x:c r="A235" s="2"/>
      <x:c r="B235" s="2"/>
      <x:c r="C235" s="2"/>
      <x:c r="D235" s="2"/>
      <x:c r="E235" s="2"/>
      <x:c r="F235" s="2"/>
    </x:row>
    <x:row r="236" ht="23" customHeight="1">
      <x:c r="A236" s="2"/>
      <x:c r="B236" s="2"/>
      <x:c r="C236" s="2"/>
      <x:c r="D236" s="2"/>
      <x:c r="E236" s="2"/>
      <x:c r="F236" s="2"/>
    </x:row>
    <x:row r="237" ht="23" customHeight="1">
      <x:c r="A237" s="2"/>
      <x:c r="B237" s="2"/>
      <x:c r="C237" s="2"/>
      <x:c r="D237" s="2"/>
      <x:c r="E237" s="2"/>
      <x:c r="F237" s="2"/>
    </x:row>
    <x:row r="238" ht="23" customHeight="1">
      <x:c r="A238" s="2"/>
      <x:c r="B238" s="2"/>
      <x:c r="C238" s="2"/>
      <x:c r="D238" s="2"/>
      <x:c r="E238" s="2"/>
      <x:c r="F238" s="2"/>
    </x:row>
    <x:row r="239" ht="23" customHeight="1">
      <x:c r="A239" s="2"/>
      <x:c r="B239" s="2"/>
      <x:c r="C239" s="2"/>
      <x:c r="D239" s="2"/>
      <x:c r="E239" s="2"/>
      <x:c r="F239" s="2"/>
    </x:row>
    <x:row r="240" ht="23" customHeight="1">
      <x:c r="A240" s="2"/>
      <x:c r="B240" s="2"/>
      <x:c r="C240" s="2"/>
      <x:c r="D240" s="2"/>
      <x:c r="E240" s="2"/>
      <x:c r="F240" s="2"/>
    </x:row>
    <x:row r="241" ht="23" customHeight="1">
      <x:c r="A241" s="2"/>
      <x:c r="B241" s="2"/>
      <x:c r="C241" s="2"/>
      <x:c r="D241" s="2"/>
      <x:c r="E241" s="2"/>
      <x:c r="F241" s="2"/>
    </x:row>
    <x:row r="242" ht="23" customHeight="1">
      <x:c r="A242" s="2"/>
      <x:c r="B242" s="2"/>
      <x:c r="C242" s="2"/>
      <x:c r="D242" s="2"/>
      <x:c r="E242" s="2"/>
      <x:c r="F242" s="2"/>
    </x:row>
    <x:row r="243" ht="23" customHeight="1">
      <x:c r="A243" s="2"/>
      <x:c r="B243" s="2"/>
      <x:c r="C243" s="2"/>
      <x:c r="D243" s="2"/>
      <x:c r="E243" s="2"/>
      <x:c r="F243" s="2"/>
    </x:row>
    <x:row r="244" ht="23" customHeight="1">
      <x:c r="A244" s="2"/>
      <x:c r="B244" s="2"/>
      <x:c r="C244" s="2"/>
      <x:c r="D244" s="2"/>
      <x:c r="E244" s="2"/>
      <x:c r="F244" s="2"/>
    </x:row>
    <x:row r="245" ht="23" customHeight="1">
      <x:c r="A245" s="2"/>
      <x:c r="B245" s="2"/>
      <x:c r="C245" s="2"/>
      <x:c r="D245" s="2"/>
      <x:c r="E245" s="2"/>
      <x:c r="F245" s="2"/>
    </x:row>
    <x:row r="246" ht="23" customHeight="1">
      <x:c r="A246" s="2"/>
      <x:c r="B246" s="2"/>
      <x:c r="C246" s="2"/>
      <x:c r="D246" s="2"/>
      <x:c r="E246" s="2"/>
      <x:c r="F246" s="2"/>
    </x:row>
    <x:row r="247" ht="23" customHeight="1">
      <x:c r="A247" s="2"/>
      <x:c r="B247" s="2"/>
      <x:c r="C247" s="2"/>
      <x:c r="D247" s="2"/>
      <x:c r="E247" s="2"/>
      <x:c r="F247" s="2"/>
    </x:row>
    <x:row r="248" ht="23" customHeight="1">
      <x:c r="A248" s="2"/>
      <x:c r="B248" s="2"/>
      <x:c r="C248" s="2"/>
      <x:c r="D248" s="2"/>
      <x:c r="E248" s="2"/>
      <x:c r="F248" s="2"/>
    </x:row>
    <x:row r="249" ht="23" customHeight="1">
      <x:c r="A249" s="2"/>
      <x:c r="B249" s="2"/>
      <x:c r="C249" s="2"/>
      <x:c r="D249" s="2"/>
      <x:c r="E249" s="2"/>
      <x:c r="F249" s="2"/>
    </x:row>
    <x:row r="250" ht="23" customHeight="1">
      <x:c r="A250" s="2"/>
      <x:c r="B250" s="2"/>
      <x:c r="C250" s="2"/>
      <x:c r="D250" s="2"/>
      <x:c r="E250" s="2"/>
      <x:c r="F250" s="2"/>
    </x:row>
    <x:row r="251" ht="23" customHeight="1">
      <x:c r="A251" s="2"/>
      <x:c r="B251" s="2"/>
      <x:c r="C251" s="2"/>
      <x:c r="D251" s="2"/>
      <x:c r="E251" s="2"/>
      <x:c r="F251" s="2"/>
    </x:row>
    <x:row r="252" ht="23" customHeight="1">
      <x:c r="A252" s="2"/>
      <x:c r="B252" s="2"/>
      <x:c r="C252" s="2"/>
      <x:c r="D252" s="2"/>
      <x:c r="E252" s="2"/>
      <x:c r="F252" s="2"/>
    </x:row>
    <x:row r="253" ht="23" customHeight="1">
      <x:c r="A253" s="2"/>
      <x:c r="B253" s="2"/>
      <x:c r="C253" s="2"/>
      <x:c r="D253" s="2"/>
      <x:c r="E253" s="2"/>
      <x:c r="F253" s="2"/>
    </x:row>
    <x:row r="254" ht="23" customHeight="1">
      <x:c r="A254" s="2"/>
      <x:c r="B254" s="2"/>
      <x:c r="C254" s="2"/>
      <x:c r="D254" s="2"/>
      <x:c r="E254" s="2"/>
      <x:c r="F254" s="2"/>
    </x:row>
    <x:row r="255" ht="23" customHeight="1">
      <x:c r="A255" s="2"/>
      <x:c r="B255" s="2"/>
      <x:c r="C255" s="2"/>
      <x:c r="D255" s="2"/>
      <x:c r="E255" s="2"/>
      <x:c r="F255" s="2"/>
    </x:row>
    <x:row r="256" ht="23" customHeight="1">
      <x:c r="A256" s="2"/>
      <x:c r="B256" s="2"/>
      <x:c r="C256" s="2"/>
      <x:c r="D256" s="2"/>
      <x:c r="E256" s="2"/>
      <x:c r="F256" s="2"/>
    </x:row>
    <x:row r="257" ht="23" customHeight="1">
      <x:c r="A257" s="2"/>
      <x:c r="B257" s="2"/>
      <x:c r="C257" s="2"/>
      <x:c r="D257" s="2"/>
      <x:c r="E257" s="2"/>
      <x:c r="F257" s="2"/>
    </x:row>
    <x:row r="258" ht="23" customHeight="1">
      <x:c r="A258" s="2"/>
      <x:c r="B258" s="2"/>
      <x:c r="C258" s="2"/>
      <x:c r="D258" s="2"/>
      <x:c r="E258" s="2"/>
      <x:c r="F258" s="2"/>
    </x:row>
    <x:row r="259" ht="23" customHeight="1">
      <x:c r="A259" s="2"/>
      <x:c r="B259" s="2"/>
      <x:c r="C259" s="2"/>
      <x:c r="D259" s="2"/>
      <x:c r="E259" s="2"/>
      <x:c r="F259" s="2"/>
    </x:row>
    <x:row r="260" ht="23" customHeight="1">
      <x:c r="A260" s="2"/>
      <x:c r="B260" s="2"/>
      <x:c r="C260" s="2"/>
      <x:c r="D260" s="2"/>
      <x:c r="E260" s="2"/>
      <x:c r="F260" s="2"/>
    </x:row>
    <x:row r="261" ht="23" customHeight="1">
      <x:c r="A261" s="2"/>
      <x:c r="B261" s="2"/>
      <x:c r="C261" s="2"/>
      <x:c r="D261" s="2"/>
      <x:c r="E261" s="2"/>
      <x:c r="F261" s="2"/>
    </x:row>
    <x:row r="262" ht="23" customHeight="1">
      <x:c r="A262" s="2"/>
      <x:c r="B262" s="2"/>
      <x:c r="C262" s="2"/>
      <x:c r="D262" s="2"/>
      <x:c r="E262" s="2"/>
      <x:c r="F262" s="2"/>
    </x:row>
    <x:row r="263" ht="23" customHeight="1">
      <x:c r="A263" s="2"/>
      <x:c r="B263" s="2"/>
      <x:c r="C263" s="2"/>
      <x:c r="D263" s="2"/>
      <x:c r="E263" s="2"/>
      <x:c r="F263" s="2"/>
    </x:row>
    <x:row r="264" ht="23" customHeight="1">
      <x:c r="A264" s="2"/>
      <x:c r="B264" s="2"/>
      <x:c r="C264" s="2"/>
      <x:c r="D264" s="2"/>
      <x:c r="E264" s="2"/>
      <x:c r="F264" s="2"/>
    </x:row>
    <x:row r="265" ht="23" customHeight="1">
      <x:c r="A265" s="2"/>
      <x:c r="B265" s="2"/>
      <x:c r="C265" s="2"/>
      <x:c r="D265" s="2"/>
      <x:c r="E265" s="2"/>
      <x:c r="F265" s="2"/>
    </x:row>
    <x:row r="266" ht="23" customHeight="1">
      <x:c r="A266" s="2"/>
      <x:c r="B266" s="2"/>
      <x:c r="C266" s="2"/>
      <x:c r="D266" s="2"/>
      <x:c r="E266" s="2"/>
      <x:c r="F266" s="2"/>
    </x:row>
    <x:row r="267" ht="23" customHeight="1">
      <x:c r="A267" s="2"/>
      <x:c r="B267" s="2"/>
      <x:c r="C267" s="2"/>
      <x:c r="D267" s="2"/>
      <x:c r="E267" s="2"/>
      <x:c r="F267" s="2"/>
    </x:row>
    <x:row r="268" ht="23" customHeight="1">
      <x:c r="A268" s="2"/>
      <x:c r="B268" s="2"/>
      <x:c r="C268" s="2"/>
      <x:c r="D268" s="2"/>
      <x:c r="E268" s="2"/>
      <x:c r="F268" s="2"/>
    </x:row>
    <x:row r="269" ht="23" customHeight="1">
      <x:c r="A269" s="2"/>
      <x:c r="B269" s="2"/>
      <x:c r="C269" s="2"/>
      <x:c r="D269" s="2"/>
      <x:c r="E269" s="2"/>
      <x:c r="F269" s="2"/>
    </x:row>
    <x:row r="270" ht="23" customHeight="1">
      <x:c r="A270" s="2"/>
      <x:c r="B270" s="2"/>
      <x:c r="C270" s="2"/>
      <x:c r="D270" s="2"/>
      <x:c r="E270" s="2"/>
      <x:c r="F270" s="2"/>
    </x:row>
    <x:row r="271" ht="23" customHeight="1">
      <x:c r="A271" s="2"/>
      <x:c r="B271" s="2"/>
      <x:c r="C271" s="2"/>
      <x:c r="D271" s="2"/>
      <x:c r="E271" s="2"/>
      <x:c r="F271" s="2"/>
    </x:row>
    <x:row r="272" ht="23" customHeight="1">
      <x:c r="A272" s="2"/>
      <x:c r="B272" s="2"/>
      <x:c r="C272" s="2"/>
      <x:c r="D272" s="2"/>
      <x:c r="E272" s="2"/>
      <x:c r="F272" s="2"/>
    </x:row>
    <x:row r="273" ht="23" customHeight="1">
      <x:c r="A273" s="2"/>
      <x:c r="B273" s="2"/>
      <x:c r="C273" s="2"/>
      <x:c r="D273" s="2"/>
      <x:c r="E273" s="2"/>
      <x:c r="F273" s="2"/>
    </x:row>
    <x:row r="274" ht="23" customHeight="1">
      <x:c r="A274" s="2"/>
      <x:c r="B274" s="2"/>
      <x:c r="C274" s="2"/>
      <x:c r="D274" s="2"/>
      <x:c r="E274" s="2"/>
      <x:c r="F274" s="2"/>
    </x:row>
    <x:row r="275" ht="23" customHeight="1">
      <x:c r="A275" s="2"/>
      <x:c r="B275" s="2"/>
      <x:c r="C275" s="2"/>
      <x:c r="D275" s="2"/>
      <x:c r="E275" s="2"/>
      <x:c r="F275" s="2"/>
    </x:row>
    <x:row r="276" ht="23" customHeight="1">
      <x:c r="A276" s="2"/>
      <x:c r="B276" s="2"/>
      <x:c r="C276" s="2"/>
      <x:c r="D276" s="2"/>
      <x:c r="E276" s="2"/>
      <x:c r="F276" s="2"/>
    </x:row>
    <x:row r="277" ht="23" customHeight="1">
      <x:c r="A277" s="2"/>
      <x:c r="B277" s="2"/>
      <x:c r="C277" s="2"/>
      <x:c r="D277" s="2"/>
      <x:c r="E277" s="2"/>
      <x:c r="F277" s="2"/>
    </x:row>
    <x:row r="278" ht="23" customHeight="1">
      <x:c r="A278" s="2"/>
      <x:c r="B278" s="2"/>
      <x:c r="C278" s="2"/>
      <x:c r="D278" s="2"/>
      <x:c r="E278" s="2"/>
      <x:c r="F278" s="2"/>
    </x:row>
    <x:row r="279" ht="23" customHeight="1">
      <x:c r="A279" s="2"/>
      <x:c r="B279" s="2"/>
      <x:c r="C279" s="2"/>
      <x:c r="D279" s="2"/>
      <x:c r="E279" s="2"/>
      <x:c r="F279" s="2"/>
    </x:row>
    <x:row r="280" ht="23" customHeight="1">
      <x:c r="A280" s="2"/>
      <x:c r="B280" s="2"/>
      <x:c r="C280" s="2"/>
      <x:c r="D280" s="2"/>
      <x:c r="E280" s="2"/>
      <x:c r="F280" s="2"/>
    </x:row>
    <x:row r="281" ht="23" customHeight="1">
      <x:c r="A281" s="2"/>
      <x:c r="B281" s="2"/>
      <x:c r="C281" s="2"/>
      <x:c r="D281" s="2"/>
      <x:c r="E281" s="2"/>
      <x:c r="F281" s="2"/>
    </x:row>
    <x:row r="282" ht="23" customHeight="1">
      <x:c r="A282" s="2"/>
      <x:c r="B282" s="2"/>
      <x:c r="C282" s="2"/>
      <x:c r="D282" s="2"/>
      <x:c r="E282" s="2"/>
      <x:c r="F282" s="2"/>
    </x:row>
    <x:row r="283" ht="23" customHeight="1">
      <x:c r="A283" s="2"/>
      <x:c r="B283" s="2"/>
      <x:c r="C283" s="2"/>
      <x:c r="D283" s="2"/>
      <x:c r="E283" s="2"/>
      <x:c r="F283" s="2"/>
    </x:row>
    <x:row r="284" ht="23" customHeight="1">
      <x:c r="A284" s="2"/>
      <x:c r="B284" s="2"/>
      <x:c r="C284" s="2"/>
      <x:c r="D284" s="2"/>
      <x:c r="E284" s="2"/>
      <x:c r="F284" s="2"/>
    </x:row>
    <x:row r="285" ht="23" customHeight="1">
      <x:c r="A285" s="2"/>
      <x:c r="B285" s="2"/>
      <x:c r="C285" s="2"/>
      <x:c r="D285" s="2"/>
      <x:c r="E285" s="2"/>
      <x:c r="F285" s="2"/>
    </x:row>
    <x:row r="286" ht="23" customHeight="1">
      <x:c r="A286" s="2"/>
      <x:c r="B286" s="2"/>
      <x:c r="C286" s="2"/>
      <x:c r="D286" s="2"/>
      <x:c r="E286" s="2"/>
      <x:c r="F286" s="2"/>
    </x:row>
    <x:row r="287" ht="23" customHeight="1">
      <x:c r="A287" s="2"/>
      <x:c r="B287" s="2"/>
      <x:c r="C287" s="2"/>
      <x:c r="D287" s="2"/>
      <x:c r="E287" s="2"/>
      <x:c r="F287" s="2"/>
    </x:row>
    <x:row r="288" ht="23" customHeight="1">
      <x:c r="A288" s="2"/>
      <x:c r="B288" s="2"/>
      <x:c r="C288" s="2"/>
      <x:c r="D288" s="2"/>
      <x:c r="E288" s="2"/>
      <x:c r="F288" s="2"/>
    </x:row>
    <x:row r="289" ht="23" customHeight="1">
      <x:c r="A289" s="2"/>
      <x:c r="B289" s="2"/>
      <x:c r="C289" s="2"/>
      <x:c r="D289" s="2"/>
      <x:c r="E289" s="2"/>
      <x:c r="F289" s="2"/>
    </x:row>
    <x:row r="290" ht="23" customHeight="1">
      <x:c r="A290" s="2"/>
      <x:c r="B290" s="2"/>
      <x:c r="C290" s="2"/>
      <x:c r="D290" s="2"/>
      <x:c r="E290" s="2"/>
      <x:c r="F290" s="2"/>
    </x:row>
    <x:row r="291" ht="23" customHeight="1">
      <x:c r="A291" s="2"/>
      <x:c r="B291" s="2"/>
      <x:c r="C291" s="2"/>
      <x:c r="D291" s="2"/>
      <x:c r="E291" s="2"/>
      <x:c r="F291" s="2"/>
    </x:row>
    <x:row r="292" ht="23" customHeight="1">
      <x:c r="A292" s="2"/>
      <x:c r="B292" s="2"/>
      <x:c r="C292" s="2"/>
      <x:c r="D292" s="2"/>
      <x:c r="E292" s="2"/>
      <x:c r="F292" s="2"/>
    </x:row>
    <x:row r="293" ht="23" customHeight="1">
      <x:c r="A293" s="2"/>
      <x:c r="B293" s="2"/>
      <x:c r="C293" s="2"/>
      <x:c r="D293" s="2"/>
      <x:c r="E293" s="2"/>
      <x:c r="F293" s="2"/>
    </x:row>
    <x:row r="294" ht="23" customHeight="1">
      <x:c r="A294" s="2"/>
      <x:c r="B294" s="2"/>
      <x:c r="C294" s="2"/>
      <x:c r="D294" s="2"/>
      <x:c r="E294" s="2"/>
      <x:c r="F294" s="2"/>
    </x:row>
    <x:row r="295" ht="23" customHeight="1">
      <x:c r="A295" s="2"/>
      <x:c r="B295" s="2"/>
      <x:c r="C295" s="2"/>
      <x:c r="D295" s="2"/>
      <x:c r="E295" s="2"/>
      <x:c r="F295" s="2"/>
    </x:row>
    <x:row r="296" ht="23" customHeight="1">
      <x:c r="A296" s="2"/>
      <x:c r="B296" s="2"/>
      <x:c r="C296" s="2"/>
      <x:c r="D296" s="2"/>
      <x:c r="E296" s="2"/>
      <x:c r="F296" s="2"/>
    </x:row>
    <x:row r="297" ht="23" customHeight="1">
      <x:c r="A297" s="2"/>
      <x:c r="B297" s="2"/>
      <x:c r="C297" s="2"/>
      <x:c r="D297" s="2"/>
      <x:c r="E297" s="2"/>
      <x:c r="F297" s="2"/>
    </x:row>
    <x:row r="298" ht="23" customHeight="1">
      <x:c r="A298" s="2"/>
      <x:c r="B298" s="2"/>
      <x:c r="C298" s="2"/>
      <x:c r="D298" s="2"/>
      <x:c r="E298" s="2"/>
      <x:c r="F298" s="2"/>
    </x:row>
    <x:row r="299" ht="23" customHeight="1">
      <x:c r="A299" s="2"/>
      <x:c r="B299" s="2"/>
      <x:c r="C299" s="2"/>
      <x:c r="D299" s="2"/>
      <x:c r="E299" s="2"/>
      <x:c r="F299" s="2"/>
    </x:row>
    <x:row r="300" ht="23" customHeight="1">
      <x:c r="A300" s="2"/>
      <x:c r="B300" s="2"/>
      <x:c r="C300" s="2"/>
      <x:c r="D300" s="2"/>
      <x:c r="E300" s="2"/>
      <x:c r="F300" s="2"/>
    </x:row>
    <x:row r="301" ht="23" customHeight="1">
      <x:c r="A301" s="2"/>
      <x:c r="B301" s="2"/>
      <x:c r="C301" s="2"/>
      <x:c r="D301" s="2"/>
      <x:c r="E301" s="2"/>
      <x:c r="F301" s="2"/>
    </x:row>
    <x:row r="302" ht="23" customHeight="1">
      <x:c r="A302" s="2"/>
      <x:c r="B302" s="2"/>
      <x:c r="C302" s="2"/>
      <x:c r="D302" s="2"/>
      <x:c r="E302" s="2"/>
      <x:c r="F302" s="2"/>
    </x:row>
    <x:row r="303" ht="23" customHeight="1">
      <x:c r="A303" s="2"/>
      <x:c r="B303" s="2"/>
      <x:c r="C303" s="2"/>
      <x:c r="D303" s="2"/>
      <x:c r="E303" s="2"/>
      <x:c r="F303" s="2"/>
    </x:row>
    <x:row r="304" ht="23" customHeight="1">
      <x:c r="A304" s="2"/>
      <x:c r="B304" s="2"/>
      <x:c r="C304" s="2"/>
      <x:c r="D304" s="2"/>
      <x:c r="E304" s="2"/>
      <x:c r="F304" s="2"/>
    </x:row>
    <x:row r="305" ht="23" customHeight="1">
      <x:c r="A305" s="2"/>
      <x:c r="B305" s="2"/>
      <x:c r="C305" s="2"/>
      <x:c r="D305" s="2"/>
      <x:c r="E305" s="2"/>
      <x:c r="F305" s="2"/>
    </x:row>
    <x:row r="306" ht="23" customHeight="1">
      <x:c r="A306" s="2"/>
      <x:c r="B306" s="2"/>
      <x:c r="C306" s="2"/>
      <x:c r="D306" s="2"/>
      <x:c r="E306" s="2"/>
      <x:c r="F306" s="2"/>
    </x:row>
    <x:row r="307" ht="23" customHeight="1">
      <x:c r="A307" s="2"/>
      <x:c r="B307" s="2"/>
      <x:c r="C307" s="2"/>
      <x:c r="D307" s="2"/>
      <x:c r="E307" s="2"/>
      <x:c r="F307" s="2"/>
    </x:row>
    <x:row r="308" ht="23" customHeight="1">
      <x:c r="A308" s="2"/>
      <x:c r="B308" s="2"/>
      <x:c r="C308" s="2"/>
      <x:c r="D308" s="2"/>
      <x:c r="E308" s="2"/>
      <x:c r="F308" s="2"/>
    </x:row>
    <x:row r="309" ht="23" customHeight="1">
      <x:c r="A309" s="2"/>
      <x:c r="B309" s="2"/>
      <x:c r="C309" s="2"/>
      <x:c r="D309" s="2"/>
      <x:c r="E309" s="2"/>
      <x:c r="F309" s="2"/>
    </x:row>
    <x:row r="310" ht="23" customHeight="1">
      <x:c r="A310" s="2"/>
      <x:c r="B310" s="2"/>
      <x:c r="C310" s="2"/>
      <x:c r="D310" s="2"/>
      <x:c r="E310" s="2"/>
      <x:c r="F310" s="2"/>
    </x:row>
    <x:row r="311" ht="23" customHeight="1">
      <x:c r="A311" s="2"/>
      <x:c r="B311" s="2"/>
      <x:c r="C311" s="2"/>
      <x:c r="D311" s="2"/>
      <x:c r="E311" s="2"/>
      <x:c r="F311" s="2"/>
    </x:row>
    <x:row r="312" ht="23" customHeight="1">
      <x:c r="A312" s="2"/>
      <x:c r="B312" s="2"/>
      <x:c r="C312" s="2"/>
      <x:c r="D312" s="2"/>
      <x:c r="E312" s="2"/>
      <x:c r="F312" s="2"/>
    </x:row>
    <x:row r="313" ht="23" customHeight="1">
      <x:c r="A313" s="2"/>
      <x:c r="B313" s="2"/>
      <x:c r="C313" s="2"/>
      <x:c r="D313" s="2"/>
      <x:c r="E313" s="2"/>
      <x:c r="F313" s="2"/>
    </x:row>
    <x:row r="314" ht="23" customHeight="1">
      <x:c r="A314" s="2"/>
      <x:c r="B314" s="2"/>
      <x:c r="C314" s="2"/>
      <x:c r="D314" s="2"/>
      <x:c r="E314" s="2"/>
      <x:c r="F314" s="2"/>
    </x:row>
    <x:row r="315" ht="23" customHeight="1">
      <x:c r="A315" s="2"/>
      <x:c r="B315" s="2"/>
      <x:c r="C315" s="2"/>
      <x:c r="D315" s="2"/>
      <x:c r="E315" s="2"/>
      <x:c r="F315" s="2"/>
    </x:row>
    <x:row r="316" ht="23" customHeight="1">
      <x:c r="A316" s="2"/>
      <x:c r="B316" s="2"/>
      <x:c r="C316" s="2"/>
      <x:c r="D316" s="2"/>
      <x:c r="E316" s="2"/>
      <x:c r="F316" s="2"/>
    </x:row>
    <x:row r="317" ht="23" customHeight="1">
      <x:c r="A317" s="2"/>
      <x:c r="B317" s="2"/>
      <x:c r="C317" s="2"/>
      <x:c r="D317" s="2"/>
      <x:c r="E317" s="2"/>
      <x:c r="F317" s="2"/>
    </x:row>
    <x:row r="318" ht="23" customHeight="1">
      <x:c r="A318" s="2"/>
      <x:c r="B318" s="2"/>
      <x:c r="C318" s="2"/>
      <x:c r="D318" s="2"/>
      <x:c r="E318" s="2"/>
      <x:c r="F318" s="2"/>
    </x:row>
    <x:row r="319" ht="23" customHeight="1">
      <x:c r="A319" s="2"/>
      <x:c r="B319" s="2"/>
      <x:c r="C319" s="2"/>
      <x:c r="D319" s="2"/>
      <x:c r="E319" s="2"/>
      <x:c r="F319" s="2"/>
    </x:row>
    <x:row r="320" ht="23" customHeight="1">
      <x:c r="A320" s="2"/>
      <x:c r="B320" s="2"/>
      <x:c r="C320" s="2"/>
      <x:c r="D320" s="2"/>
      <x:c r="E320" s="2"/>
      <x:c r="F320" s="2"/>
    </x:row>
    <x:row r="321" ht="23" customHeight="1">
      <x:c r="A321" s="2"/>
      <x:c r="B321" s="2"/>
      <x:c r="C321" s="2"/>
      <x:c r="D321" s="2"/>
      <x:c r="E321" s="2"/>
      <x:c r="F321" s="2"/>
    </x:row>
    <x:row r="322" ht="23" customHeight="1">
      <x:c r="A322" s="2"/>
      <x:c r="B322" s="2"/>
      <x:c r="C322" s="2"/>
      <x:c r="D322" s="2"/>
      <x:c r="E322" s="2"/>
      <x:c r="F322" s="2"/>
    </x:row>
    <x:row r="323" ht="23" customHeight="1">
      <x:c r="A323" s="2"/>
      <x:c r="B323" s="2"/>
      <x:c r="C323" s="2"/>
      <x:c r="D323" s="2"/>
      <x:c r="E323" s="2"/>
      <x:c r="F323" s="2"/>
    </x:row>
    <x:row r="324" ht="23" customHeight="1">
      <x:c r="A324" s="2"/>
      <x:c r="B324" s="2"/>
      <x:c r="C324" s="2"/>
      <x:c r="D324" s="2"/>
      <x:c r="E324" s="2"/>
      <x:c r="F324" s="2"/>
    </x:row>
    <x:row r="325" ht="23" customHeight="1">
      <x:c r="A325" s="2"/>
      <x:c r="B325" s="2"/>
      <x:c r="C325" s="2"/>
      <x:c r="D325" s="2"/>
      <x:c r="E325" s="2"/>
      <x:c r="F325" s="2"/>
    </x:row>
    <x:row r="326" ht="23" customHeight="1">
      <x:c r="A326" s="2"/>
      <x:c r="B326" s="2"/>
      <x:c r="C326" s="2"/>
      <x:c r="D326" s="2"/>
      <x:c r="E326" s="2"/>
      <x:c r="F326" s="2"/>
    </x:row>
    <x:row r="327" ht="23" customHeight="1">
      <x:c r="A327" s="2"/>
      <x:c r="B327" s="2"/>
      <x:c r="C327" s="2"/>
      <x:c r="D327" s="2"/>
      <x:c r="E327" s="2"/>
      <x:c r="F327" s="2"/>
    </x:row>
    <x:row r="328" ht="23" customHeight="1">
      <x:c r="A328" s="2"/>
      <x:c r="B328" s="2"/>
      <x:c r="C328" s="2"/>
      <x:c r="D328" s="2"/>
      <x:c r="E328" s="2"/>
      <x:c r="F328" s="2"/>
    </x:row>
    <x:row r="329" ht="23" customHeight="1">
      <x:c r="A329" s="2"/>
      <x:c r="B329" s="2"/>
      <x:c r="C329" s="2"/>
      <x:c r="D329" s="2"/>
      <x:c r="E329" s="2"/>
      <x:c r="F329" s="2"/>
    </x:row>
    <x:row r="330" ht="23" customHeight="1">
      <x:c r="A330" s="2"/>
      <x:c r="B330" s="2"/>
      <x:c r="C330" s="2"/>
      <x:c r="D330" s="2"/>
      <x:c r="E330" s="2"/>
      <x:c r="F330" s="2"/>
    </x:row>
    <x:row r="331" ht="23" customHeight="1">
      <x:c r="A331" s="2"/>
      <x:c r="B331" s="2"/>
      <x:c r="C331" s="2"/>
      <x:c r="D331" s="2"/>
      <x:c r="E331" s="2"/>
      <x:c r="F331" s="2"/>
    </x:row>
    <x:row r="332" ht="23" customHeight="1">
      <x:c r="A332" s="2"/>
      <x:c r="B332" s="2"/>
      <x:c r="C332" s="2"/>
      <x:c r="D332" s="2"/>
      <x:c r="E332" s="2"/>
      <x:c r="F332" s="2"/>
    </x:row>
    <x:row r="333" ht="23" customHeight="1">
      <x:c r="A333" s="2"/>
      <x:c r="B333" s="2"/>
      <x:c r="C333" s="2"/>
      <x:c r="D333" s="2"/>
      <x:c r="E333" s="2"/>
      <x:c r="F333" s="2"/>
    </x:row>
    <x:row r="334" ht="23" customHeight="1">
      <x:c r="A334" s="2"/>
      <x:c r="B334" s="2"/>
      <x:c r="C334" s="2"/>
      <x:c r="D334" s="2"/>
      <x:c r="E334" s="2"/>
      <x:c r="F334" s="2"/>
    </x:row>
    <x:row r="335" ht="23" customHeight="1">
      <x:c r="A335" s="2"/>
      <x:c r="B335" s="2"/>
      <x:c r="C335" s="2"/>
      <x:c r="D335" s="2"/>
      <x:c r="E335" s="2"/>
      <x:c r="F335" s="2"/>
    </x:row>
    <x:row r="336" ht="23" customHeight="1">
      <x:c r="A336" s="2"/>
      <x:c r="B336" s="2"/>
      <x:c r="C336" s="2"/>
      <x:c r="D336" s="2"/>
      <x:c r="E336" s="2"/>
      <x:c r="F336" s="2"/>
    </x:row>
    <x:row r="337" ht="23" customHeight="1">
      <x:c r="A337" s="2"/>
      <x:c r="B337" s="2"/>
      <x:c r="C337" s="2"/>
      <x:c r="D337" s="2"/>
      <x:c r="E337" s="2"/>
      <x:c r="F337" s="2"/>
    </x:row>
    <x:row r="338" ht="23" customHeight="1">
      <x:c r="A338" s="2"/>
      <x:c r="B338" s="2"/>
      <x:c r="C338" s="2"/>
      <x:c r="D338" s="2"/>
      <x:c r="E338" s="2"/>
      <x:c r="F338" s="2"/>
    </x:row>
    <x:row r="339" ht="23" customHeight="1">
      <x:c r="A339" s="2"/>
      <x:c r="B339" s="2"/>
      <x:c r="C339" s="2"/>
      <x:c r="D339" s="2"/>
      <x:c r="E339" s="2"/>
      <x:c r="F339" s="2"/>
    </x:row>
    <x:row r="340" ht="23" customHeight="1">
      <x:c r="A340" s="2"/>
      <x:c r="B340" s="2"/>
      <x:c r="C340" s="2"/>
      <x:c r="D340" s="2"/>
      <x:c r="E340" s="2"/>
      <x:c r="F340" s="2"/>
    </x:row>
    <x:row r="341" ht="23" customHeight="1">
      <x:c r="A341" s="2"/>
      <x:c r="B341" s="2"/>
      <x:c r="C341" s="2"/>
      <x:c r="D341" s="2"/>
      <x:c r="E341" s="2"/>
      <x:c r="F341" s="2"/>
    </x:row>
    <x:row r="342" ht="23" customHeight="1">
      <x:c r="A342" s="2"/>
      <x:c r="B342" s="2"/>
      <x:c r="C342" s="2"/>
      <x:c r="D342" s="2"/>
      <x:c r="E342" s="2"/>
      <x:c r="F342" s="2"/>
    </x:row>
    <x:row r="343" ht="23" customHeight="1">
      <x:c r="A343" s="2"/>
      <x:c r="B343" s="2"/>
      <x:c r="C343" s="2"/>
      <x:c r="D343" s="2"/>
      <x:c r="E343" s="2"/>
      <x:c r="F343" s="2"/>
    </x:row>
    <x:row r="344" ht="23" customHeight="1">
      <x:c r="A344" s="2"/>
      <x:c r="B344" s="2"/>
      <x:c r="C344" s="2"/>
      <x:c r="D344" s="2"/>
      <x:c r="E344" s="2"/>
      <x:c r="F344" s="2"/>
    </x:row>
    <x:row r="345" ht="23" customHeight="1">
      <x:c r="A345" s="2"/>
      <x:c r="B345" s="2"/>
      <x:c r="C345" s="2"/>
      <x:c r="D345" s="2"/>
      <x:c r="E345" s="2"/>
      <x:c r="F345" s="2"/>
    </x:row>
    <x:row r="346" ht="23" customHeight="1">
      <x:c r="A346" s="2"/>
      <x:c r="B346" s="2"/>
      <x:c r="C346" s="2"/>
      <x:c r="D346" s="2"/>
      <x:c r="E346" s="2"/>
      <x:c r="F346" s="2"/>
    </x:row>
    <x:row r="347" ht="23" customHeight="1">
      <x:c r="A347" s="2"/>
      <x:c r="B347" s="2"/>
      <x:c r="C347" s="2"/>
      <x:c r="D347" s="2"/>
      <x:c r="E347" s="2"/>
      <x:c r="F347" s="2"/>
    </x:row>
    <x:row r="348" ht="23" customHeight="1">
      <x:c r="A348" s="2"/>
      <x:c r="B348" s="2"/>
      <x:c r="C348" s="2"/>
      <x:c r="D348" s="2"/>
      <x:c r="E348" s="2"/>
      <x:c r="F348" s="2"/>
    </x:row>
    <x:row r="349" ht="23" customHeight="1">
      <x:c r="A349" s="2"/>
      <x:c r="B349" s="2"/>
      <x:c r="C349" s="2"/>
      <x:c r="D349" s="2"/>
      <x:c r="E349" s="2"/>
      <x:c r="F349" s="2"/>
    </x:row>
    <x:row r="350" ht="23" customHeight="1">
      <x:c r="A350" s="2"/>
      <x:c r="B350" s="2"/>
      <x:c r="C350" s="2"/>
      <x:c r="D350" s="2"/>
      <x:c r="E350" s="2"/>
      <x:c r="F350" s="2"/>
    </x:row>
    <x:row r="351" ht="23" customHeight="1">
      <x:c r="A351" s="2"/>
      <x:c r="B351" s="2"/>
      <x:c r="C351" s="2"/>
      <x:c r="D351" s="2"/>
      <x:c r="E351" s="2"/>
      <x:c r="F351" s="2"/>
    </x:row>
    <x:row r="352" ht="23" customHeight="1">
      <x:c r="A352" s="2"/>
      <x:c r="B352" s="2"/>
      <x:c r="C352" s="2"/>
      <x:c r="D352" s="2"/>
      <x:c r="E352" s="2"/>
      <x:c r="F352" s="2"/>
    </x:row>
    <x:row r="353" ht="23" customHeight="1">
      <x:c r="A353" s="2"/>
      <x:c r="B353" s="2"/>
      <x:c r="C353" s="2"/>
      <x:c r="D353" s="2"/>
      <x:c r="E353" s="2"/>
      <x:c r="F353" s="2"/>
    </x:row>
    <x:row r="354" ht="23" customHeight="1">
      <x:c r="A354" s="2"/>
      <x:c r="B354" s="2"/>
      <x:c r="C354" s="2"/>
      <x:c r="D354" s="2"/>
      <x:c r="E354" s="2"/>
      <x:c r="F354" s="2"/>
    </x:row>
    <x:row r="355" ht="23" customHeight="1">
      <x:c r="A355" s="2"/>
      <x:c r="B355" s="2"/>
      <x:c r="C355" s="2"/>
      <x:c r="D355" s="2"/>
      <x:c r="E355" s="2"/>
      <x:c r="F355" s="2"/>
    </x:row>
    <x:row r="356" ht="23" customHeight="1">
      <x:c r="A356" s="2"/>
      <x:c r="B356" s="2"/>
      <x:c r="C356" s="2"/>
      <x:c r="D356" s="2"/>
      <x:c r="E356" s="2"/>
      <x:c r="F356" s="2"/>
    </x:row>
    <x:row r="357" ht="23" customHeight="1">
      <x:c r="A357" s="2"/>
      <x:c r="B357" s="2"/>
      <x:c r="C357" s="2"/>
      <x:c r="D357" s="2"/>
      <x:c r="E357" s="2"/>
      <x:c r="F357" s="2"/>
    </x:row>
    <x:row r="358" ht="23" customHeight="1">
      <x:c r="A358" s="2"/>
      <x:c r="B358" s="2"/>
      <x:c r="C358" s="2"/>
      <x:c r="D358" s="2"/>
      <x:c r="E358" s="2"/>
      <x:c r="F358" s="2"/>
    </x:row>
    <x:row r="359" ht="23" customHeight="1">
      <x:c r="A359" s="2"/>
      <x:c r="B359" s="2"/>
      <x:c r="C359" s="2"/>
      <x:c r="D359" s="2"/>
      <x:c r="E359" s="2"/>
      <x:c r="F359" s="2"/>
    </x:row>
    <x:row r="360" ht="23" customHeight="1">
      <x:c r="A360" s="2"/>
      <x:c r="B360" s="2"/>
      <x:c r="C360" s="2"/>
      <x:c r="D360" s="2"/>
      <x:c r="E360" s="2"/>
      <x:c r="F360" s="2"/>
    </x:row>
    <x:row r="361" ht="23" customHeight="1">
      <x:c r="A361" s="2"/>
      <x:c r="B361" s="2"/>
      <x:c r="C361" s="2"/>
      <x:c r="D361" s="2"/>
      <x:c r="E361" s="2"/>
      <x:c r="F361" s="2"/>
    </x:row>
    <x:row r="362" ht="23" customHeight="1">
      <x:c r="A362" s="2"/>
      <x:c r="B362" s="2"/>
      <x:c r="C362" s="2"/>
      <x:c r="D362" s="2"/>
      <x:c r="E362" s="2"/>
      <x:c r="F362" s="2"/>
    </x:row>
    <x:row r="363" ht="23" customHeight="1">
      <x:c r="A363" s="2"/>
      <x:c r="B363" s="2"/>
      <x:c r="C363" s="2"/>
      <x:c r="D363" s="2"/>
      <x:c r="E363" s="2"/>
      <x:c r="F363" s="2"/>
    </x:row>
    <x:row r="364" ht="23" customHeight="1">
      <x:c r="A364" s="2"/>
      <x:c r="B364" s="2"/>
      <x:c r="C364" s="2"/>
      <x:c r="D364" s="2"/>
      <x:c r="E364" s="2"/>
      <x:c r="F364" s="2"/>
    </x:row>
    <x:row r="365" ht="23" customHeight="1">
      <x:c r="A365" s="2"/>
      <x:c r="B365" s="2"/>
      <x:c r="C365" s="2"/>
      <x:c r="D365" s="2"/>
      <x:c r="E365" s="2"/>
      <x:c r="F365" s="2"/>
    </x:row>
    <x:row r="366" ht="23" customHeight="1">
      <x:c r="A366" s="2"/>
      <x:c r="B366" s="2"/>
      <x:c r="C366" s="2"/>
      <x:c r="D366" s="2"/>
      <x:c r="E366" s="2"/>
      <x:c r="F366" s="2"/>
    </x:row>
    <x:row r="367" ht="23" customHeight="1">
      <x:c r="A367" s="2"/>
      <x:c r="B367" s="2"/>
      <x:c r="C367" s="2"/>
      <x:c r="D367" s="2"/>
      <x:c r="E367" s="2"/>
      <x:c r="F367" s="2"/>
    </x:row>
    <x:row r="368" ht="23" customHeight="1">
      <x:c r="A368" s="2"/>
      <x:c r="B368" s="2"/>
      <x:c r="C368" s="2"/>
      <x:c r="D368" s="2"/>
      <x:c r="E368" s="2"/>
      <x:c r="F368" s="2"/>
    </x:row>
    <x:row r="369" ht="23" customHeight="1">
      <x:c r="A369" s="2"/>
      <x:c r="B369" s="2"/>
      <x:c r="C369" s="2"/>
      <x:c r="D369" s="2"/>
      <x:c r="E369" s="2"/>
      <x:c r="F369" s="2"/>
    </x:row>
    <x:row r="370" ht="23" customHeight="1">
      <x:c r="A370" s="2"/>
      <x:c r="B370" s="2"/>
      <x:c r="C370" s="2"/>
      <x:c r="D370" s="2"/>
      <x:c r="E370" s="2"/>
      <x:c r="F370" s="2"/>
    </x:row>
    <x:row r="371" ht="23" customHeight="1">
      <x:c r="A371" s="2"/>
      <x:c r="B371" s="2"/>
      <x:c r="C371" s="2"/>
      <x:c r="D371" s="2"/>
      <x:c r="E371" s="2"/>
      <x:c r="F371" s="2"/>
    </x:row>
    <x:row r="372" ht="23" customHeight="1">
      <x:c r="A372" s="2"/>
      <x:c r="B372" s="2"/>
      <x:c r="C372" s="2"/>
      <x:c r="D372" s="2"/>
      <x:c r="E372" s="2"/>
      <x:c r="F372" s="2"/>
    </x:row>
    <x:row r="373" ht="23" customHeight="1">
      <x:c r="A373" s="2"/>
      <x:c r="B373" s="2"/>
      <x:c r="C373" s="2"/>
      <x:c r="D373" s="2"/>
      <x:c r="E373" s="2"/>
      <x:c r="F373" s="2"/>
    </x:row>
    <x:row r="374" ht="23" customHeight="1">
      <x:c r="A374" s="2"/>
      <x:c r="B374" s="2"/>
      <x:c r="C374" s="2"/>
      <x:c r="D374" s="2"/>
      <x:c r="E374" s="2"/>
      <x:c r="F374" s="2"/>
    </x:row>
    <x:row r="375" ht="23" customHeight="1">
      <x:c r="A375" s="2"/>
      <x:c r="B375" s="2"/>
      <x:c r="C375" s="2"/>
      <x:c r="D375" s="2"/>
      <x:c r="E375" s="2"/>
      <x:c r="F375" s="2"/>
    </x:row>
    <x:row r="376" ht="23" customHeight="1">
      <x:c r="A376" s="2"/>
      <x:c r="B376" s="2"/>
      <x:c r="C376" s="2"/>
      <x:c r="D376" s="2"/>
      <x:c r="E376" s="2"/>
      <x:c r="F376" s="2"/>
    </x:row>
    <x:row r="377" ht="23" customHeight="1">
      <x:c r="A377" s="2"/>
      <x:c r="B377" s="2"/>
      <x:c r="C377" s="2"/>
      <x:c r="D377" s="2"/>
      <x:c r="E377" s="2"/>
      <x:c r="F377" s="2"/>
    </x:row>
    <x:row r="378" ht="23" customHeight="1">
      <x:c r="A378" s="2"/>
      <x:c r="B378" s="2"/>
      <x:c r="C378" s="2"/>
      <x:c r="D378" s="2"/>
      <x:c r="E378" s="2"/>
      <x:c r="F378" s="2"/>
    </x:row>
    <x:row r="379" ht="23" customHeight="1">
      <x:c r="A379" s="2"/>
      <x:c r="B379" s="2"/>
      <x:c r="C379" s="2"/>
      <x:c r="D379" s="2"/>
      <x:c r="E379" s="2"/>
      <x:c r="F379" s="2"/>
    </x:row>
    <x:row r="380" ht="23" customHeight="1">
      <x:c r="A380" s="2"/>
      <x:c r="B380" s="2"/>
      <x:c r="C380" s="2"/>
      <x:c r="D380" s="2"/>
      <x:c r="E380" s="2"/>
      <x:c r="F380" s="2"/>
    </x:row>
    <x:row r="381" ht="23" customHeight="1">
      <x:c r="A381" s="2"/>
      <x:c r="B381" s="2"/>
      <x:c r="C381" s="2"/>
      <x:c r="D381" s="2"/>
      <x:c r="E381" s="2"/>
      <x:c r="F381" s="2"/>
    </x:row>
    <x:row r="382" ht="23" customHeight="1">
      <x:c r="A382" s="2"/>
      <x:c r="B382" s="2"/>
      <x:c r="C382" s="2"/>
      <x:c r="D382" s="2"/>
      <x:c r="E382" s="2"/>
      <x:c r="F382" s="2"/>
    </x:row>
    <x:row r="383" ht="23" customHeight="1">
      <x:c r="A383" s="2"/>
      <x:c r="B383" s="2"/>
      <x:c r="C383" s="2"/>
      <x:c r="D383" s="2"/>
      <x:c r="E383" s="2"/>
      <x:c r="F383" s="2"/>
    </x:row>
    <x:row r="384" ht="23" customHeight="1">
      <x:c r="A384" s="2"/>
      <x:c r="B384" s="2"/>
      <x:c r="C384" s="2"/>
      <x:c r="D384" s="2"/>
      <x:c r="E384" s="2"/>
      <x:c r="F384" s="2"/>
    </x:row>
    <x:row r="385" ht="23" customHeight="1">
      <x:c r="A385" s="2"/>
      <x:c r="B385" s="2"/>
      <x:c r="C385" s="2"/>
      <x:c r="D385" s="2"/>
      <x:c r="E385" s="2"/>
      <x:c r="F385" s="2"/>
    </x:row>
    <x:row r="386" ht="23" customHeight="1">
      <x:c r="A386" s="2"/>
      <x:c r="B386" s="2"/>
      <x:c r="C386" s="2"/>
      <x:c r="D386" s="2"/>
      <x:c r="E386" s="2"/>
      <x:c r="F386" s="2"/>
    </x:row>
    <x:row r="387" ht="23" customHeight="1">
      <x:c r="A387" s="2"/>
      <x:c r="B387" s="2"/>
      <x:c r="C387" s="2"/>
      <x:c r="D387" s="2"/>
      <x:c r="E387" s="2"/>
      <x:c r="F387" s="2"/>
    </x:row>
    <x:row r="388" ht="23" customHeight="1">
      <x:c r="A388" s="2"/>
      <x:c r="B388" s="2"/>
      <x:c r="C388" s="2"/>
      <x:c r="D388" s="2"/>
      <x:c r="E388" s="2"/>
      <x:c r="F388" s="2"/>
    </x:row>
    <x:row r="389" ht="23" customHeight="1">
      <x:c r="A389" s="2"/>
      <x:c r="B389" s="2"/>
      <x:c r="C389" s="2"/>
      <x:c r="D389" s="2"/>
      <x:c r="E389" s="2"/>
      <x:c r="F389" s="2"/>
    </x:row>
    <x:row r="390" ht="23" customHeight="1">
      <x:c r="A390" s="2"/>
      <x:c r="B390" s="2"/>
      <x:c r="C390" s="2"/>
      <x:c r="D390" s="2"/>
      <x:c r="E390" s="2"/>
      <x:c r="F390" s="2"/>
    </x:row>
    <x:row r="391" ht="23" customHeight="1">
      <x:c r="A391" s="2"/>
      <x:c r="B391" s="2"/>
      <x:c r="C391" s="2"/>
      <x:c r="D391" s="2"/>
      <x:c r="E391" s="2"/>
      <x:c r="F391" s="2"/>
    </x:row>
    <x:row r="392" ht="23" customHeight="1">
      <x:c r="A392" s="2"/>
      <x:c r="B392" s="2"/>
      <x:c r="C392" s="2"/>
      <x:c r="D392" s="2"/>
      <x:c r="E392" s="2"/>
      <x:c r="F392" s="2"/>
    </x:row>
    <x:row r="393" ht="23" customHeight="1">
      <x:c r="A393" s="2"/>
      <x:c r="B393" s="2"/>
      <x:c r="C393" s="2"/>
      <x:c r="D393" s="2"/>
      <x:c r="E393" s="2"/>
      <x:c r="F393" s="2"/>
    </x:row>
    <x:row r="394" ht="23" customHeight="1">
      <x:c r="A394" s="2"/>
      <x:c r="B394" s="2"/>
      <x:c r="C394" s="2"/>
      <x:c r="D394" s="2"/>
      <x:c r="E394" s="2"/>
      <x:c r="F394" s="2"/>
    </x:row>
    <x:row r="395" ht="23" customHeight="1">
      <x:c r="A395" s="2"/>
      <x:c r="B395" s="2"/>
      <x:c r="C395" s="2"/>
      <x:c r="D395" s="2"/>
      <x:c r="E395" s="2"/>
      <x:c r="F395" s="2"/>
    </x:row>
    <x:row r="396" ht="23" customHeight="1">
      <x:c r="A396" s="2"/>
      <x:c r="B396" s="2"/>
      <x:c r="C396" s="2"/>
      <x:c r="D396" s="2"/>
      <x:c r="E396" s="2"/>
      <x:c r="F396" s="2"/>
    </x:row>
    <x:row r="397" ht="23" customHeight="1">
      <x:c r="A397" s="2"/>
      <x:c r="B397" s="2"/>
      <x:c r="C397" s="2"/>
      <x:c r="D397" s="2"/>
      <x:c r="E397" s="2"/>
      <x:c r="F397" s="2"/>
    </x:row>
    <x:row r="398" ht="23" customHeight="1">
      <x:c r="A398" s="2"/>
      <x:c r="B398" s="2"/>
      <x:c r="C398" s="2"/>
      <x:c r="D398" s="2"/>
      <x:c r="E398" s="2"/>
      <x:c r="F398" s="2"/>
    </x:row>
    <x:row r="399" ht="23" customHeight="1">
      <x:c r="A399" s="2"/>
      <x:c r="B399" s="2"/>
      <x:c r="C399" s="2"/>
      <x:c r="D399" s="2"/>
      <x:c r="E399" s="2"/>
      <x:c r="F399" s="2"/>
    </x:row>
    <x:row r="400" ht="23" customHeight="1">
      <x:c r="A400" s="2"/>
      <x:c r="B400" s="2"/>
      <x:c r="C400" s="2"/>
      <x:c r="D400" s="2"/>
      <x:c r="E400" s="2"/>
      <x:c r="F400" s="2"/>
    </x:row>
  </x:sheetData>
  <x:mergeCells>
    <x:mergeCell ref="A1:F1"/>
    <x:mergeCell ref="A2:F2"/>
    <x:mergeCell ref="A12:F12"/>
    <x:mergeCell ref="A13:F13"/>
    <x:mergeCell ref="A19:F19"/>
  </x:mergeCells>
  <x:conditionalFormatting sqref="B5:F9">
    <x:cfRule type="colorScale" priority="1">
      <x:colorScale>
        <x:cfvo type="min"/>
        <x:cfvo type="percentile" val="50"/>
        <x:cfvo type="max"/>
        <x:color rgb="FFFBF8F0"/>
        <x:color rgb="FFF3C928"/>
        <x:color rgb="FF377F79"/>
      </x:colorScale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110000610351562" hidden="0" customWidth="1"/>
    <x:col min="2" max="2" width="65.55999755859375" hidden="0" customWidth="1"/>
    <x:col min="3" max="3" width="68.88999938964844" hidden="0" customWidth="1"/>
  </x:cols>
  <x:sheetData>
    <x:row r="1" ht="43" customHeight="1">
      <x:c r="A1" s="4" t="str">
        <x:v>监测与退出研究条件</x:v>
      </x:c>
      <x:c r="B1" s="4"/>
      <x:c r="C1" s="4"/>
    </x:row>
    <x:row r="2" ht="30" customHeight="1">
      <x:c r="A2" s="5" t="str">
        <x:v>2026-09 至 2028-09；阈值是本研究的复核触发条件，不是公司承诺或自动交易指令。</x:v>
      </x:c>
      <x:c r="B2" s="5"/>
      <x:c r="C2" s="5"/>
    </x:row>
    <x:row r="3" ht="23" customHeight="1">
      <x:c r="A3" s="2"/>
      <x:c r="B3" s="2"/>
      <x:c r="C3" s="2"/>
    </x:row>
    <x:row r="4" ht="38" customHeight="1">
      <x:c r="A4" s="8" t="str">
        <x:v>公司</x:v>
      </x:c>
      <x:c r="B4" s="8" t="str">
        <x:v>主要风险</x:v>
      </x:c>
      <x:c r="C4" s="8" t="str">
        <x:v>复核触发条件</x:v>
      </x:c>
    </x:row>
    <x:row r="5" ht="65" customHeight="1">
      <x:c r="A5" s="10" t="str">
        <x:v>台积电</x:v>
      </x:c>
      <x:c r="B5" s="10" t="str">
        <x:v>台湾地缘尾部风险可超过悲观情景。
2027 扩产、海外成本或封装分流可能压低利润率。</x:v>
      </x:c>
      <x:c r="C5" s="10" t="str">
        <x:v>未来两个季度：先进节点收入与毛利率。
若营业利润率连续两季低于 50%，重估增长与买入上限。</x:v>
      </x:c>
    </x:row>
    <x:row r="6" ht="65" customHeight="1">
      <x:c r="A6" s="15" t="str">
        <x:v>Talen</x:v>
      </x:c>
      <x:c r="B6" s="15" t="str">
        <x:v>PPA 按最低进度爬坡；2028 仍有电价与价差风险。
净债 91.71 亿美元，核电停机及融资成本会放大损失。</x:v>
      </x:c>
      <x:c r="C6" s="15" t="str">
        <x:v>每季度：AWS 交付、股东成本、净债务和电价。
若 2028 基础现金流下修逾 15% 或净杠杆超过 3.5 倍，重估。</x:v>
      </x:c>
    </x:row>
    <x:row r="7" ht="65" customHeight="1">
      <x:c r="A7" s="10" t="str">
        <x:v>NVIDIA</x:v>
      </x:c>
      <x:c r="B7" s="10" t="str">
        <x:v>客户自研 ASIC、出口限制与上游分配影响增长。
客户融资和应收账款回收可能拖累现金收益。</x:v>
      </x:c>
      <x:c r="C7" s="10" t="str">
        <x:v>每季度：数据中心增长、毛利率和应收回款。
若毛利率低于 70% 且应收继续快于收入增长，重估。</x:v>
      </x:c>
    </x:row>
    <x:row r="8" ht="65" customHeight="1">
      <x:c r="A8" s="15" t="str">
        <x:v>施耐德</x:v>
      </x:c>
      <x:c r="B8" s="15" t="str">
        <x:v>净提价尚未覆盖原料与关税。
并购、整合成本和债务利息可能稀释收益。</x:v>
      </x:c>
      <x:c r="C8" s="15" t="str">
        <x:v>每半年：净价格贡献和调整 EBITA 利润率。
若净价格仍为负且利润率低于 19%，暂停加仓研究。</x:v>
      </x:c>
    </x:row>
    <x:row r="9" ht="65" customHeight="1">
      <x:c r="A9" s="10" t="str">
        <x:v>西门子能源</x:v>
      </x:c>
      <x:c r="B9" s="10" t="str">
        <x:v>Gamesa 修复、质保与项目交付影响全公司收益。
新增气机产能和客户延迟可能改变订单转化速度。</x:v>
      </x:c>
      <x:c r="C9" s="10" t="str">
        <x:v>每季度：气机及电网利润率、订单转收入。
若合同负债转负且收入兑现停滞，下调现金预测。</x:v>
      </x:c>
    </x:row>
    <x:row r="10" ht="65" customHeight="1">
      <x:c r="A10" s="15" t="str">
        <x:v>Broadcom</x:v>
      </x:c>
      <x:c r="B10" s="15" t="str">
        <x:v>少数大客户、定制芯片产品周期与项目延期。
软件收入稳定性和收购摊销影响综合估值。</x:v>
      </x:c>
      <x:c r="C10" s="15" t="str">
        <x:v>每季度：AI 半导体收入、回款和稀释股数。
若大客户推迟量产且股数持续上升，降低收益预测。</x:v>
      </x:c>
    </x:row>
    <x:row r="11" ht="65" customHeight="1">
      <x:c r="A11" s="10" t="str">
        <x:v>Vertiv</x:v>
      </x:c>
      <x:c r="B11" s="10" t="str">
        <x:v>液冷利润未独立披露，竞争者可扩产。
收购、客户集中与项目延迟可能压低现金转化。</x:v>
      </x:c>
      <x:c r="C11" s="10" t="str">
        <x:v>每季度：有机收入、GAAP 利润率和递延收入。
若增长低于 20% 且利润率低于 22%，下调基准。</x:v>
      </x:c>
    </x:row>
    <x:row r="12" ht="65" customHeight="1">
      <x:c r="A12" s="15" t="str">
        <x:v>Eaton</x:v>
      </x:c>
      <x:c r="B12" s="15" t="str">
        <x:v>原料涨价、关税与固定价格订单存在时差。
调整 EPS 剔除的费用仍可能反复发生。</x:v>
      </x:c>
      <x:c r="C12" s="15" t="str">
        <x:v>每季度：美洲电气利润率、商品成本与净债务。
若收入增长仍无法抵消原料涨价，降低利润率假设。</x:v>
      </x:c>
    </x:row>
    <x:row r="13" ht="65" customHeight="1">
      <x:c r="A13" s="10" t="str">
        <x:v>SK 海力士</x:v>
      </x:c>
      <x:c r="B13" s="10" t="str">
        <x:v>三星已扩大量产 HBM4，竞争资格会变化。
回购收益可能被存储价格下跌和扩产支出抵消。</x:v>
      </x:c>
      <x:c r="C13" s="10" t="str">
        <x:v>每季度：存储价格、HBM 客户认证和产能利用率。
若三星交付加快且合约价格转跌，提前下调利润假设。</x:v>
      </x:c>
    </x:row>
    <x:row r="14" ht="65" customHeight="1">
      <x:c r="A14" s="15" t="str">
        <x:v>Micron</x:v>
      </x:c>
      <x:c r="B14" s="15" t="str">
        <x:v>2027 新工厂和封装产能可能缓解短缺。
合同只覆盖部分产量，价格回落仍影响大部分业务。</x:v>
      </x:c>
      <x:c r="C14" s="15" t="str">
        <x:v>每季度：合约履约、价格、客户存款退款与扩产。
若新供给提前且利润率低于 60%，下调盈利与倍数。</x:v>
      </x:c>
    </x:row>
    <x:row r="15" ht="65" customHeight="1">
      <x:c r="A15" s="10" t="str">
        <x:v>GE Vernova</x:v>
      </x:c>
      <x:c r="B15" s="10" t="str">
        <x:v>63 GW 为产能预订，53 GW 才是气机设备积压。
风电亏损、交付和客户推迟会影响全公司利润。</x:v>
      </x:c>
      <x:c r="C15" s="10" t="str">
        <x:v>每季度：预订转正式订单、气机交付和风电亏损。
若现金主要靠预付款且营业利润停滞，维持回避。</x:v>
      </x:c>
    </x:row>
    <x:row r="16" ht="23" customHeight="1">
      <x:c r="A16" s="2"/>
      <x:c r="B16" s="2"/>
      <x:c r="C16" s="2"/>
    </x:row>
    <x:row r="17" ht="35" customHeight="1">
      <x:c r="A17" s="9" t="str">
        <x:v>共同需求风险：若主要云厂商连续两季削减资本开支并延迟订单，所有公司同时下调。</x:v>
      </x:c>
      <x:c r="B17" s="9"/>
      <x:c r="C17" s="9"/>
    </x:row>
    <x:row r="18" ht="35" customHeight="1">
      <x:c r="A18" s="9" t="str">
        <x:v>共同供给风险：跟踪 2027 HBM 新工厂、三星认证、封装爬坡和大型燃机扩产。</x:v>
      </x:c>
      <x:c r="B18" s="9"/>
      <x:c r="C18" s="9"/>
    </x:row>
    <x:row r="19" ht="35" customHeight="1">
      <x:c r="A19" s="9" t="str">
        <x:v>扩产时间：Micron Idaho / Tongluo 在 2027 年中附近；新加坡 HBM 封装在 2027 年上半年。</x:v>
      </x:c>
      <x:c r="B19" s="9"/>
      <x:c r="C19" s="9"/>
    </x:row>
    <x:row r="20" ht="35" customHeight="1">
      <x:c r="A20" s="9" t="str">
        <x:v>SK Indiana 计划 2029 年下半年量产，超出窗口；GEV 年产 run-rate 计划 2028 年达 24 GW。</x:v>
      </x:c>
      <x:c r="B20" s="9"/>
      <x:c r="C20" s="9"/>
    </x:row>
    <x:row r="21" ht="23" customHeight="1">
      <x:c r="A21" s="2"/>
      <x:c r="B21" s="2"/>
      <x:c r="C21" s="2"/>
    </x:row>
    <x:row r="22" ht="23" customHeight="1">
      <x:c r="A22" s="2"/>
      <x:c r="B22" s="2"/>
      <x:c r="C22" s="2"/>
    </x:row>
    <x:row r="23" ht="23" customHeight="1">
      <x:c r="A23" s="2"/>
      <x:c r="B23" s="2"/>
      <x:c r="C23" s="2"/>
    </x:row>
    <x:row r="24" ht="23" customHeight="1">
      <x:c r="A24" s="2"/>
      <x:c r="B24" s="2"/>
      <x:c r="C24" s="2"/>
    </x:row>
    <x:row r="25" ht="23" customHeight="1">
      <x:c r="A25" s="2"/>
      <x:c r="B25" s="2"/>
      <x:c r="C25" s="2"/>
    </x:row>
    <x:row r="26" ht="23" customHeight="1">
      <x:c r="A26" s="2"/>
      <x:c r="B26" s="2"/>
      <x:c r="C26" s="2"/>
    </x:row>
    <x:row r="27" ht="23" customHeight="1">
      <x:c r="A27" s="2"/>
      <x:c r="B27" s="2"/>
      <x:c r="C27" s="2"/>
    </x:row>
    <x:row r="28" ht="23" customHeight="1">
      <x:c r="A28" s="2"/>
      <x:c r="B28" s="2"/>
      <x:c r="C28" s="2"/>
    </x:row>
    <x:row r="29" ht="23" customHeight="1">
      <x:c r="A29" s="2"/>
      <x:c r="B29" s="2"/>
      <x:c r="C29" s="2"/>
    </x:row>
    <x:row r="30" ht="23" customHeight="1">
      <x:c r="A30" s="2"/>
      <x:c r="B30" s="2"/>
      <x:c r="C30" s="2"/>
    </x:row>
    <x:row r="31" ht="23" customHeight="1">
      <x:c r="A31" s="2"/>
      <x:c r="B31" s="2"/>
      <x:c r="C31" s="2"/>
    </x:row>
    <x:row r="32" ht="23" customHeight="1">
      <x:c r="A32" s="2"/>
      <x:c r="B32" s="2"/>
      <x:c r="C32" s="2"/>
    </x:row>
    <x:row r="33" ht="23" customHeight="1">
      <x:c r="A33" s="2"/>
      <x:c r="B33" s="2"/>
      <x:c r="C33" s="2"/>
    </x:row>
    <x:row r="34" ht="23" customHeight="1">
      <x:c r="A34" s="2"/>
      <x:c r="B34" s="2"/>
      <x:c r="C34" s="2"/>
    </x:row>
    <x:row r="35" ht="23" customHeight="1">
      <x:c r="A35" s="2"/>
      <x:c r="B35" s="2"/>
      <x:c r="C35" s="2"/>
    </x:row>
    <x:row r="36" ht="23" customHeight="1">
      <x:c r="A36" s="2"/>
      <x:c r="B36" s="2"/>
      <x:c r="C36" s="2"/>
    </x:row>
    <x:row r="37" ht="23" customHeight="1">
      <x:c r="A37" s="2"/>
      <x:c r="B37" s="2"/>
      <x:c r="C37" s="2"/>
    </x:row>
    <x:row r="38" ht="23" customHeight="1">
      <x:c r="A38" s="2"/>
      <x:c r="B38" s="2"/>
      <x:c r="C38" s="2"/>
    </x:row>
    <x:row r="39" ht="23" customHeight="1">
      <x:c r="A39" s="2"/>
      <x:c r="B39" s="2"/>
      <x:c r="C39" s="2"/>
    </x:row>
    <x:row r="40" ht="23" customHeight="1">
      <x:c r="A40" s="2"/>
      <x:c r="B40" s="2"/>
      <x:c r="C40" s="2"/>
    </x:row>
    <x:row r="41" ht="23" customHeight="1">
      <x:c r="A41" s="2"/>
      <x:c r="B41" s="2"/>
      <x:c r="C41" s="2"/>
    </x:row>
    <x:row r="42" ht="23" customHeight="1">
      <x:c r="A42" s="2"/>
      <x:c r="B42" s="2"/>
      <x:c r="C42" s="2"/>
    </x:row>
    <x:row r="43" ht="23" customHeight="1">
      <x:c r="A43" s="2"/>
      <x:c r="B43" s="2"/>
      <x:c r="C43" s="2"/>
    </x:row>
    <x:row r="44" ht="23" customHeight="1">
      <x:c r="A44" s="2"/>
      <x:c r="B44" s="2"/>
      <x:c r="C44" s="2"/>
    </x:row>
    <x:row r="45" ht="23" customHeight="1">
      <x:c r="A45" s="2"/>
      <x:c r="B45" s="2"/>
      <x:c r="C45" s="2"/>
    </x:row>
    <x:row r="46" ht="23" customHeight="1">
      <x:c r="A46" s="2"/>
      <x:c r="B46" s="2"/>
      <x:c r="C46" s="2"/>
    </x:row>
    <x:row r="47" ht="23" customHeight="1">
      <x:c r="A47" s="2"/>
      <x:c r="B47" s="2"/>
      <x:c r="C47" s="2"/>
    </x:row>
    <x:row r="48" ht="23" customHeight="1">
      <x:c r="A48" s="2"/>
      <x:c r="B48" s="2"/>
      <x:c r="C48" s="2"/>
    </x:row>
    <x:row r="49" ht="23" customHeight="1">
      <x:c r="A49" s="2"/>
      <x:c r="B49" s="2"/>
      <x:c r="C49" s="2"/>
    </x:row>
    <x:row r="50" ht="23" customHeight="1">
      <x:c r="A50" s="2"/>
      <x:c r="B50" s="2"/>
      <x:c r="C50" s="2"/>
    </x:row>
    <x:row r="51" ht="23" customHeight="1">
      <x:c r="A51" s="2"/>
      <x:c r="B51" s="2"/>
      <x:c r="C51" s="2"/>
    </x:row>
    <x:row r="52" ht="23" customHeight="1">
      <x:c r="A52" s="2"/>
      <x:c r="B52" s="2"/>
      <x:c r="C52" s="2"/>
    </x:row>
    <x:row r="53" ht="23" customHeight="1">
      <x:c r="A53" s="2"/>
      <x:c r="B53" s="2"/>
      <x:c r="C53" s="2"/>
    </x:row>
    <x:row r="54" ht="23" customHeight="1">
      <x:c r="A54" s="2"/>
      <x:c r="B54" s="2"/>
      <x:c r="C54" s="2"/>
    </x:row>
    <x:row r="55" ht="23" customHeight="1">
      <x:c r="A55" s="2"/>
      <x:c r="B55" s="2"/>
      <x:c r="C55" s="2"/>
    </x:row>
    <x:row r="56" ht="23" customHeight="1">
      <x:c r="A56" s="2"/>
      <x:c r="B56" s="2"/>
      <x:c r="C56" s="2"/>
    </x:row>
    <x:row r="57" ht="23" customHeight="1">
      <x:c r="A57" s="2"/>
      <x:c r="B57" s="2"/>
      <x:c r="C57" s="2"/>
    </x:row>
    <x:row r="58" ht="23" customHeight="1">
      <x:c r="A58" s="2"/>
      <x:c r="B58" s="2"/>
      <x:c r="C58" s="2"/>
    </x:row>
    <x:row r="59" ht="23" customHeight="1">
      <x:c r="A59" s="2"/>
      <x:c r="B59" s="2"/>
      <x:c r="C59" s="2"/>
    </x:row>
    <x:row r="60" ht="23" customHeight="1">
      <x:c r="A60" s="2"/>
      <x:c r="B60" s="2"/>
      <x:c r="C60" s="2"/>
    </x:row>
    <x:row r="61" ht="23" customHeight="1">
      <x:c r="A61" s="2"/>
      <x:c r="B61" s="2"/>
      <x:c r="C61" s="2"/>
    </x:row>
    <x:row r="62" ht="23" customHeight="1">
      <x:c r="A62" s="2"/>
      <x:c r="B62" s="2"/>
      <x:c r="C62" s="2"/>
    </x:row>
    <x:row r="63" ht="23" customHeight="1">
      <x:c r="A63" s="2"/>
      <x:c r="B63" s="2"/>
      <x:c r="C63" s="2"/>
    </x:row>
    <x:row r="64" ht="23" customHeight="1">
      <x:c r="A64" s="2"/>
      <x:c r="B64" s="2"/>
      <x:c r="C64" s="2"/>
    </x:row>
    <x:row r="65" ht="23" customHeight="1">
      <x:c r="A65" s="2"/>
      <x:c r="B65" s="2"/>
      <x:c r="C65" s="2"/>
    </x:row>
    <x:row r="66" ht="23" customHeight="1">
      <x:c r="A66" s="2"/>
      <x:c r="B66" s="2"/>
      <x:c r="C66" s="2"/>
    </x:row>
    <x:row r="67" ht="23" customHeight="1">
      <x:c r="A67" s="2"/>
      <x:c r="B67" s="2"/>
      <x:c r="C67" s="2"/>
    </x:row>
    <x:row r="68" ht="23" customHeight="1">
      <x:c r="A68" s="2"/>
      <x:c r="B68" s="2"/>
      <x:c r="C68" s="2"/>
    </x:row>
    <x:row r="69" ht="23" customHeight="1">
      <x:c r="A69" s="2"/>
      <x:c r="B69" s="2"/>
      <x:c r="C69" s="2"/>
    </x:row>
    <x:row r="70" ht="23" customHeight="1">
      <x:c r="A70" s="2"/>
      <x:c r="B70" s="2"/>
      <x:c r="C70" s="2"/>
    </x:row>
    <x:row r="71" ht="23" customHeight="1">
      <x:c r="A71" s="2"/>
      <x:c r="B71" s="2"/>
      <x:c r="C71" s="2"/>
    </x:row>
    <x:row r="72" ht="23" customHeight="1">
      <x:c r="A72" s="2"/>
      <x:c r="B72" s="2"/>
      <x:c r="C72" s="2"/>
    </x:row>
    <x:row r="73" ht="23" customHeight="1">
      <x:c r="A73" s="2"/>
      <x:c r="B73" s="2"/>
      <x:c r="C73" s="2"/>
    </x:row>
    <x:row r="74" ht="23" customHeight="1">
      <x:c r="A74" s="2"/>
      <x:c r="B74" s="2"/>
      <x:c r="C74" s="2"/>
    </x:row>
    <x:row r="75" ht="23" customHeight="1">
      <x:c r="A75" s="2"/>
      <x:c r="B75" s="2"/>
      <x:c r="C75" s="2"/>
    </x:row>
    <x:row r="76" ht="23" customHeight="1">
      <x:c r="A76" s="2"/>
      <x:c r="B76" s="2"/>
      <x:c r="C76" s="2"/>
    </x:row>
    <x:row r="77" ht="23" customHeight="1">
      <x:c r="A77" s="2"/>
      <x:c r="B77" s="2"/>
      <x:c r="C77" s="2"/>
    </x:row>
    <x:row r="78" ht="23" customHeight="1">
      <x:c r="A78" s="2"/>
      <x:c r="B78" s="2"/>
      <x:c r="C78" s="2"/>
    </x:row>
    <x:row r="79" ht="23" customHeight="1">
      <x:c r="A79" s="2"/>
      <x:c r="B79" s="2"/>
      <x:c r="C79" s="2"/>
    </x:row>
    <x:row r="80" ht="23" customHeight="1">
      <x:c r="A80" s="2"/>
      <x:c r="B80" s="2"/>
      <x:c r="C80" s="2"/>
    </x:row>
    <x:row r="81" ht="23" customHeight="1">
      <x:c r="A81" s="2"/>
      <x:c r="B81" s="2"/>
      <x:c r="C81" s="2"/>
    </x:row>
    <x:row r="82" ht="23" customHeight="1">
      <x:c r="A82" s="2"/>
      <x:c r="B82" s="2"/>
      <x:c r="C82" s="2"/>
    </x:row>
    <x:row r="83" ht="23" customHeight="1">
      <x:c r="A83" s="2"/>
      <x:c r="B83" s="2"/>
      <x:c r="C83" s="2"/>
    </x:row>
    <x:row r="84" ht="23" customHeight="1">
      <x:c r="A84" s="2"/>
      <x:c r="B84" s="2"/>
      <x:c r="C84" s="2"/>
    </x:row>
    <x:row r="85" ht="23" customHeight="1">
      <x:c r="A85" s="2"/>
      <x:c r="B85" s="2"/>
      <x:c r="C85" s="2"/>
    </x:row>
    <x:row r="86" ht="23" customHeight="1">
      <x:c r="A86" s="2"/>
      <x:c r="B86" s="2"/>
      <x:c r="C86" s="2"/>
    </x:row>
    <x:row r="87" ht="23" customHeight="1">
      <x:c r="A87" s="2"/>
      <x:c r="B87" s="2"/>
      <x:c r="C87" s="2"/>
    </x:row>
    <x:row r="88" ht="23" customHeight="1">
      <x:c r="A88" s="2"/>
      <x:c r="B88" s="2"/>
      <x:c r="C88" s="2"/>
    </x:row>
    <x:row r="89" ht="23" customHeight="1">
      <x:c r="A89" s="2"/>
      <x:c r="B89" s="2"/>
      <x:c r="C89" s="2"/>
    </x:row>
    <x:row r="90" ht="23" customHeight="1">
      <x:c r="A90" s="2"/>
      <x:c r="B90" s="2"/>
      <x:c r="C90" s="2"/>
    </x:row>
    <x:row r="91" ht="23" customHeight="1">
      <x:c r="A91" s="2"/>
      <x:c r="B91" s="2"/>
      <x:c r="C91" s="2"/>
    </x:row>
    <x:row r="92" ht="23" customHeight="1">
      <x:c r="A92" s="2"/>
      <x:c r="B92" s="2"/>
      <x:c r="C92" s="2"/>
    </x:row>
    <x:row r="93" ht="23" customHeight="1">
      <x:c r="A93" s="2"/>
      <x:c r="B93" s="2"/>
      <x:c r="C93" s="2"/>
    </x:row>
    <x:row r="94" ht="23" customHeight="1">
      <x:c r="A94" s="2"/>
      <x:c r="B94" s="2"/>
      <x:c r="C94" s="2"/>
    </x:row>
    <x:row r="95" ht="23" customHeight="1">
      <x:c r="A95" s="2"/>
      <x:c r="B95" s="2"/>
      <x:c r="C95" s="2"/>
    </x:row>
    <x:row r="96" ht="23" customHeight="1">
      <x:c r="A96" s="2"/>
      <x:c r="B96" s="2"/>
      <x:c r="C96" s="2"/>
    </x:row>
    <x:row r="97" ht="23" customHeight="1">
      <x:c r="A97" s="2"/>
      <x:c r="B97" s="2"/>
      <x:c r="C97" s="2"/>
    </x:row>
    <x:row r="98" ht="23" customHeight="1">
      <x:c r="A98" s="2"/>
      <x:c r="B98" s="2"/>
      <x:c r="C98" s="2"/>
    </x:row>
    <x:row r="99" ht="23" customHeight="1">
      <x:c r="A99" s="2"/>
      <x:c r="B99" s="2"/>
      <x:c r="C99" s="2"/>
    </x:row>
    <x:row r="100" ht="23" customHeight="1">
      <x:c r="A100" s="2"/>
      <x:c r="B100" s="2"/>
      <x:c r="C100" s="2"/>
    </x:row>
    <x:row r="101" ht="23" customHeight="1">
      <x:c r="A101" s="2"/>
      <x:c r="B101" s="2"/>
      <x:c r="C101" s="2"/>
    </x:row>
    <x:row r="102" ht="23" customHeight="1">
      <x:c r="A102" s="2"/>
      <x:c r="B102" s="2"/>
      <x:c r="C102" s="2"/>
    </x:row>
    <x:row r="103" ht="23" customHeight="1">
      <x:c r="A103" s="2"/>
      <x:c r="B103" s="2"/>
      <x:c r="C103" s="2"/>
    </x:row>
    <x:row r="104" ht="23" customHeight="1">
      <x:c r="A104" s="2"/>
      <x:c r="B104" s="2"/>
      <x:c r="C104" s="2"/>
    </x:row>
    <x:row r="105" ht="23" customHeight="1">
      <x:c r="A105" s="2"/>
      <x:c r="B105" s="2"/>
      <x:c r="C105" s="2"/>
    </x:row>
    <x:row r="106" ht="23" customHeight="1">
      <x:c r="A106" s="2"/>
      <x:c r="B106" s="2"/>
      <x:c r="C106" s="2"/>
    </x:row>
    <x:row r="107" ht="23" customHeight="1">
      <x:c r="A107" s="2"/>
      <x:c r="B107" s="2"/>
      <x:c r="C107" s="2"/>
    </x:row>
    <x:row r="108" ht="23" customHeight="1">
      <x:c r="A108" s="2"/>
      <x:c r="B108" s="2"/>
      <x:c r="C108" s="2"/>
    </x:row>
    <x:row r="109" ht="23" customHeight="1">
      <x:c r="A109" s="2"/>
      <x:c r="B109" s="2"/>
      <x:c r="C109" s="2"/>
    </x:row>
    <x:row r="110" ht="23" customHeight="1">
      <x:c r="A110" s="2"/>
      <x:c r="B110" s="2"/>
      <x:c r="C110" s="2"/>
    </x:row>
    <x:row r="111" ht="23" customHeight="1">
      <x:c r="A111" s="2"/>
      <x:c r="B111" s="2"/>
      <x:c r="C111" s="2"/>
    </x:row>
    <x:row r="112" ht="23" customHeight="1">
      <x:c r="A112" s="2"/>
      <x:c r="B112" s="2"/>
      <x:c r="C112" s="2"/>
    </x:row>
    <x:row r="113" ht="23" customHeight="1">
      <x:c r="A113" s="2"/>
      <x:c r="B113" s="2"/>
      <x:c r="C113" s="2"/>
    </x:row>
    <x:row r="114" ht="23" customHeight="1">
      <x:c r="A114" s="2"/>
      <x:c r="B114" s="2"/>
      <x:c r="C114" s="2"/>
    </x:row>
    <x:row r="115" ht="23" customHeight="1">
      <x:c r="A115" s="2"/>
      <x:c r="B115" s="2"/>
      <x:c r="C115" s="2"/>
    </x:row>
    <x:row r="116" ht="23" customHeight="1">
      <x:c r="A116" s="2"/>
      <x:c r="B116" s="2"/>
      <x:c r="C116" s="2"/>
    </x:row>
    <x:row r="117" ht="23" customHeight="1">
      <x:c r="A117" s="2"/>
      <x:c r="B117" s="2"/>
      <x:c r="C117" s="2"/>
    </x:row>
    <x:row r="118" ht="23" customHeight="1">
      <x:c r="A118" s="2"/>
      <x:c r="B118" s="2"/>
      <x:c r="C118" s="2"/>
    </x:row>
    <x:row r="119" ht="23" customHeight="1">
      <x:c r="A119" s="2"/>
      <x:c r="B119" s="2"/>
      <x:c r="C119" s="2"/>
    </x:row>
    <x:row r="120" ht="23" customHeight="1">
      <x:c r="A120" s="2"/>
      <x:c r="B120" s="2"/>
      <x:c r="C120" s="2"/>
    </x:row>
    <x:row r="121" ht="23" customHeight="1">
      <x:c r="A121" s="2"/>
      <x:c r="B121" s="2"/>
      <x:c r="C121" s="2"/>
    </x:row>
    <x:row r="122" ht="23" customHeight="1">
      <x:c r="A122" s="2"/>
      <x:c r="B122" s="2"/>
      <x:c r="C122" s="2"/>
    </x:row>
    <x:row r="123" ht="23" customHeight="1">
      <x:c r="A123" s="2"/>
      <x:c r="B123" s="2"/>
      <x:c r="C123" s="2"/>
    </x:row>
    <x:row r="124" ht="23" customHeight="1">
      <x:c r="A124" s="2"/>
      <x:c r="B124" s="2"/>
      <x:c r="C124" s="2"/>
    </x:row>
    <x:row r="125" ht="23" customHeight="1">
      <x:c r="A125" s="2"/>
      <x:c r="B125" s="2"/>
      <x:c r="C125" s="2"/>
    </x:row>
    <x:row r="126" ht="23" customHeight="1">
      <x:c r="A126" s="2"/>
      <x:c r="B126" s="2"/>
      <x:c r="C126" s="2"/>
    </x:row>
    <x:row r="127" ht="23" customHeight="1">
      <x:c r="A127" s="2"/>
      <x:c r="B127" s="2"/>
      <x:c r="C127" s="2"/>
    </x:row>
    <x:row r="128" ht="23" customHeight="1">
      <x:c r="A128" s="2"/>
      <x:c r="B128" s="2"/>
      <x:c r="C128" s="2"/>
    </x:row>
    <x:row r="129" ht="23" customHeight="1">
      <x:c r="A129" s="2"/>
      <x:c r="B129" s="2"/>
      <x:c r="C129" s="2"/>
    </x:row>
    <x:row r="130" ht="23" customHeight="1">
      <x:c r="A130" s="2"/>
      <x:c r="B130" s="2"/>
      <x:c r="C130" s="2"/>
    </x:row>
    <x:row r="131" ht="23" customHeight="1">
      <x:c r="A131" s="2"/>
      <x:c r="B131" s="2"/>
      <x:c r="C131" s="2"/>
    </x:row>
    <x:row r="132" ht="23" customHeight="1">
      <x:c r="A132" s="2"/>
      <x:c r="B132" s="2"/>
      <x:c r="C132" s="2"/>
    </x:row>
    <x:row r="133" ht="23" customHeight="1">
      <x:c r="A133" s="2"/>
      <x:c r="B133" s="2"/>
      <x:c r="C133" s="2"/>
    </x:row>
    <x:row r="134" ht="23" customHeight="1">
      <x:c r="A134" s="2"/>
      <x:c r="B134" s="2"/>
      <x:c r="C134" s="2"/>
    </x:row>
    <x:row r="135" ht="23" customHeight="1">
      <x:c r="A135" s="2"/>
      <x:c r="B135" s="2"/>
      <x:c r="C135" s="2"/>
    </x:row>
    <x:row r="136" ht="23" customHeight="1">
      <x:c r="A136" s="2"/>
      <x:c r="B136" s="2"/>
      <x:c r="C136" s="2"/>
    </x:row>
    <x:row r="137" ht="23" customHeight="1">
      <x:c r="A137" s="2"/>
      <x:c r="B137" s="2"/>
      <x:c r="C137" s="2"/>
    </x:row>
    <x:row r="138" ht="23" customHeight="1">
      <x:c r="A138" s="2"/>
      <x:c r="B138" s="2"/>
      <x:c r="C138" s="2"/>
    </x:row>
    <x:row r="139" ht="23" customHeight="1">
      <x:c r="A139" s="2"/>
      <x:c r="B139" s="2"/>
      <x:c r="C139" s="2"/>
    </x:row>
    <x:row r="140" ht="23" customHeight="1">
      <x:c r="A140" s="2"/>
      <x:c r="B140" s="2"/>
      <x:c r="C140" s="2"/>
    </x:row>
    <x:row r="141" ht="23" customHeight="1">
      <x:c r="A141" s="2"/>
      <x:c r="B141" s="2"/>
      <x:c r="C141" s="2"/>
    </x:row>
    <x:row r="142" ht="23" customHeight="1">
      <x:c r="A142" s="2"/>
      <x:c r="B142" s="2"/>
      <x:c r="C142" s="2"/>
    </x:row>
    <x:row r="143" ht="23" customHeight="1">
      <x:c r="A143" s="2"/>
      <x:c r="B143" s="2"/>
      <x:c r="C143" s="2"/>
    </x:row>
    <x:row r="144" ht="23" customHeight="1">
      <x:c r="A144" s="2"/>
      <x:c r="B144" s="2"/>
      <x:c r="C144" s="2"/>
    </x:row>
    <x:row r="145" ht="23" customHeight="1">
      <x:c r="A145" s="2"/>
      <x:c r="B145" s="2"/>
      <x:c r="C145" s="2"/>
    </x:row>
    <x:row r="146" ht="23" customHeight="1">
      <x:c r="A146" s="2"/>
      <x:c r="B146" s="2"/>
      <x:c r="C146" s="2"/>
    </x:row>
    <x:row r="147" ht="23" customHeight="1">
      <x:c r="A147" s="2"/>
      <x:c r="B147" s="2"/>
      <x:c r="C147" s="2"/>
    </x:row>
    <x:row r="148" ht="23" customHeight="1">
      <x:c r="A148" s="2"/>
      <x:c r="B148" s="2"/>
      <x:c r="C148" s="2"/>
    </x:row>
    <x:row r="149" ht="23" customHeight="1">
      <x:c r="A149" s="2"/>
      <x:c r="B149" s="2"/>
      <x:c r="C149" s="2"/>
    </x:row>
    <x:row r="150" ht="23" customHeight="1">
      <x:c r="A150" s="2"/>
      <x:c r="B150" s="2"/>
      <x:c r="C150" s="2"/>
    </x:row>
    <x:row r="151" ht="23" customHeight="1">
      <x:c r="A151" s="2"/>
      <x:c r="B151" s="2"/>
      <x:c r="C151" s="2"/>
    </x:row>
    <x:row r="152" ht="23" customHeight="1">
      <x:c r="A152" s="2"/>
      <x:c r="B152" s="2"/>
      <x:c r="C152" s="2"/>
    </x:row>
    <x:row r="153" ht="23" customHeight="1">
      <x:c r="A153" s="2"/>
      <x:c r="B153" s="2"/>
      <x:c r="C153" s="2"/>
    </x:row>
    <x:row r="154" ht="23" customHeight="1">
      <x:c r="A154" s="2"/>
      <x:c r="B154" s="2"/>
      <x:c r="C154" s="2"/>
    </x:row>
    <x:row r="155" ht="23" customHeight="1">
      <x:c r="A155" s="2"/>
      <x:c r="B155" s="2"/>
      <x:c r="C155" s="2"/>
    </x:row>
    <x:row r="156" ht="23" customHeight="1">
      <x:c r="A156" s="2"/>
      <x:c r="B156" s="2"/>
      <x:c r="C156" s="2"/>
    </x:row>
    <x:row r="157" ht="23" customHeight="1">
      <x:c r="A157" s="2"/>
      <x:c r="B157" s="2"/>
      <x:c r="C157" s="2"/>
    </x:row>
    <x:row r="158" ht="23" customHeight="1">
      <x:c r="A158" s="2"/>
      <x:c r="B158" s="2"/>
      <x:c r="C158" s="2"/>
    </x:row>
    <x:row r="159" ht="23" customHeight="1">
      <x:c r="A159" s="2"/>
      <x:c r="B159" s="2"/>
      <x:c r="C159" s="2"/>
    </x:row>
    <x:row r="160" ht="23" customHeight="1">
      <x:c r="A160" s="2"/>
      <x:c r="B160" s="2"/>
      <x:c r="C160" s="2"/>
    </x:row>
    <x:row r="161" ht="23" customHeight="1">
      <x:c r="A161" s="2"/>
      <x:c r="B161" s="2"/>
      <x:c r="C161" s="2"/>
    </x:row>
    <x:row r="162" ht="23" customHeight="1">
      <x:c r="A162" s="2"/>
      <x:c r="B162" s="2"/>
      <x:c r="C162" s="2"/>
    </x:row>
    <x:row r="163" ht="23" customHeight="1">
      <x:c r="A163" s="2"/>
      <x:c r="B163" s="2"/>
      <x:c r="C163" s="2"/>
    </x:row>
    <x:row r="164" ht="23" customHeight="1">
      <x:c r="A164" s="2"/>
      <x:c r="B164" s="2"/>
      <x:c r="C164" s="2"/>
    </x:row>
    <x:row r="165" ht="23" customHeight="1">
      <x:c r="A165" s="2"/>
      <x:c r="B165" s="2"/>
      <x:c r="C165" s="2"/>
    </x:row>
    <x:row r="166" ht="23" customHeight="1">
      <x:c r="A166" s="2"/>
      <x:c r="B166" s="2"/>
      <x:c r="C166" s="2"/>
    </x:row>
    <x:row r="167" ht="23" customHeight="1">
      <x:c r="A167" s="2"/>
      <x:c r="B167" s="2"/>
      <x:c r="C167" s="2"/>
    </x:row>
    <x:row r="168" ht="23" customHeight="1">
      <x:c r="A168" s="2"/>
      <x:c r="B168" s="2"/>
      <x:c r="C168" s="2"/>
    </x:row>
    <x:row r="169" ht="23" customHeight="1">
      <x:c r="A169" s="2"/>
      <x:c r="B169" s="2"/>
      <x:c r="C169" s="2"/>
    </x:row>
    <x:row r="170" ht="23" customHeight="1">
      <x:c r="A170" s="2"/>
      <x:c r="B170" s="2"/>
      <x:c r="C170" s="2"/>
    </x:row>
    <x:row r="171" ht="23" customHeight="1">
      <x:c r="A171" s="2"/>
      <x:c r="B171" s="2"/>
      <x:c r="C171" s="2"/>
    </x:row>
    <x:row r="172" ht="23" customHeight="1">
      <x:c r="A172" s="2"/>
      <x:c r="B172" s="2"/>
      <x:c r="C172" s="2"/>
    </x:row>
    <x:row r="173" ht="23" customHeight="1">
      <x:c r="A173" s="2"/>
      <x:c r="B173" s="2"/>
      <x:c r="C173" s="2"/>
    </x:row>
    <x:row r="174" ht="23" customHeight="1">
      <x:c r="A174" s="2"/>
      <x:c r="B174" s="2"/>
      <x:c r="C174" s="2"/>
    </x:row>
    <x:row r="175" ht="23" customHeight="1">
      <x:c r="A175" s="2"/>
      <x:c r="B175" s="2"/>
      <x:c r="C175" s="2"/>
    </x:row>
    <x:row r="176" ht="23" customHeight="1">
      <x:c r="A176" s="2"/>
      <x:c r="B176" s="2"/>
      <x:c r="C176" s="2"/>
    </x:row>
    <x:row r="177" ht="23" customHeight="1">
      <x:c r="A177" s="2"/>
      <x:c r="B177" s="2"/>
      <x:c r="C177" s="2"/>
    </x:row>
    <x:row r="178" ht="23" customHeight="1">
      <x:c r="A178" s="2"/>
      <x:c r="B178" s="2"/>
      <x:c r="C178" s="2"/>
    </x:row>
    <x:row r="179" ht="23" customHeight="1">
      <x:c r="A179" s="2"/>
      <x:c r="B179" s="2"/>
      <x:c r="C179" s="2"/>
    </x:row>
    <x:row r="180" ht="23" customHeight="1">
      <x:c r="A180" s="2"/>
      <x:c r="B180" s="2"/>
      <x:c r="C180" s="2"/>
    </x:row>
    <x:row r="181" ht="23" customHeight="1">
      <x:c r="A181" s="2"/>
      <x:c r="B181" s="2"/>
      <x:c r="C181" s="2"/>
    </x:row>
    <x:row r="182" ht="23" customHeight="1">
      <x:c r="A182" s="2"/>
      <x:c r="B182" s="2"/>
      <x:c r="C182" s="2"/>
    </x:row>
    <x:row r="183" ht="23" customHeight="1">
      <x:c r="A183" s="2"/>
      <x:c r="B183" s="2"/>
      <x:c r="C183" s="2"/>
    </x:row>
    <x:row r="184" ht="23" customHeight="1">
      <x:c r="A184" s="2"/>
      <x:c r="B184" s="2"/>
      <x:c r="C184" s="2"/>
    </x:row>
    <x:row r="185" ht="23" customHeight="1">
      <x:c r="A185" s="2"/>
      <x:c r="B185" s="2"/>
      <x:c r="C185" s="2"/>
    </x:row>
    <x:row r="186" ht="23" customHeight="1">
      <x:c r="A186" s="2"/>
      <x:c r="B186" s="2"/>
      <x:c r="C186" s="2"/>
    </x:row>
    <x:row r="187" ht="23" customHeight="1">
      <x:c r="A187" s="2"/>
      <x:c r="B187" s="2"/>
      <x:c r="C187" s="2"/>
    </x:row>
    <x:row r="188" ht="23" customHeight="1">
      <x:c r="A188" s="2"/>
      <x:c r="B188" s="2"/>
      <x:c r="C188" s="2"/>
    </x:row>
    <x:row r="189" ht="23" customHeight="1">
      <x:c r="A189" s="2"/>
      <x:c r="B189" s="2"/>
      <x:c r="C189" s="2"/>
    </x:row>
    <x:row r="190" ht="23" customHeight="1">
      <x:c r="A190" s="2"/>
      <x:c r="B190" s="2"/>
      <x:c r="C190" s="2"/>
    </x:row>
    <x:row r="191" ht="23" customHeight="1">
      <x:c r="A191" s="2"/>
      <x:c r="B191" s="2"/>
      <x:c r="C191" s="2"/>
    </x:row>
    <x:row r="192" ht="23" customHeight="1">
      <x:c r="A192" s="2"/>
      <x:c r="B192" s="2"/>
      <x:c r="C192" s="2"/>
    </x:row>
    <x:row r="193" ht="23" customHeight="1">
      <x:c r="A193" s="2"/>
      <x:c r="B193" s="2"/>
      <x:c r="C193" s="2"/>
    </x:row>
    <x:row r="194" ht="23" customHeight="1">
      <x:c r="A194" s="2"/>
      <x:c r="B194" s="2"/>
      <x:c r="C194" s="2"/>
    </x:row>
    <x:row r="195" ht="23" customHeight="1">
      <x:c r="A195" s="2"/>
      <x:c r="B195" s="2"/>
      <x:c r="C195" s="2"/>
    </x:row>
    <x:row r="196" ht="23" customHeight="1">
      <x:c r="A196" s="2"/>
      <x:c r="B196" s="2"/>
      <x:c r="C196" s="2"/>
    </x:row>
    <x:row r="197" ht="23" customHeight="1">
      <x:c r="A197" s="2"/>
      <x:c r="B197" s="2"/>
      <x:c r="C197" s="2"/>
    </x:row>
    <x:row r="198" ht="23" customHeight="1">
      <x:c r="A198" s="2"/>
      <x:c r="B198" s="2"/>
      <x:c r="C198" s="2"/>
    </x:row>
    <x:row r="199" ht="23" customHeight="1">
      <x:c r="A199" s="2"/>
      <x:c r="B199" s="2"/>
      <x:c r="C199" s="2"/>
    </x:row>
    <x:row r="200" ht="23" customHeight="1">
      <x:c r="A200" s="2"/>
      <x:c r="B200" s="2"/>
      <x:c r="C200" s="2"/>
    </x:row>
    <x:row r="201" ht="23" customHeight="1">
      <x:c r="A201" s="2"/>
      <x:c r="B201" s="2"/>
      <x:c r="C201" s="2"/>
    </x:row>
    <x:row r="202" ht="23" customHeight="1">
      <x:c r="A202" s="2"/>
      <x:c r="B202" s="2"/>
      <x:c r="C202" s="2"/>
    </x:row>
    <x:row r="203" ht="23" customHeight="1">
      <x:c r="A203" s="2"/>
      <x:c r="B203" s="2"/>
      <x:c r="C203" s="2"/>
    </x:row>
    <x:row r="204" ht="23" customHeight="1">
      <x:c r="A204" s="2"/>
      <x:c r="B204" s="2"/>
      <x:c r="C204" s="2"/>
    </x:row>
    <x:row r="205" ht="23" customHeight="1">
      <x:c r="A205" s="2"/>
      <x:c r="B205" s="2"/>
      <x:c r="C205" s="2"/>
    </x:row>
    <x:row r="206" ht="23" customHeight="1">
      <x:c r="A206" s="2"/>
      <x:c r="B206" s="2"/>
      <x:c r="C206" s="2"/>
    </x:row>
    <x:row r="207" ht="23" customHeight="1">
      <x:c r="A207" s="2"/>
      <x:c r="B207" s="2"/>
      <x:c r="C207" s="2"/>
    </x:row>
    <x:row r="208" ht="23" customHeight="1">
      <x:c r="A208" s="2"/>
      <x:c r="B208" s="2"/>
      <x:c r="C208" s="2"/>
    </x:row>
    <x:row r="209" ht="23" customHeight="1">
      <x:c r="A209" s="2"/>
      <x:c r="B209" s="2"/>
      <x:c r="C209" s="2"/>
    </x:row>
    <x:row r="210" ht="23" customHeight="1">
      <x:c r="A210" s="2"/>
      <x:c r="B210" s="2"/>
      <x:c r="C210" s="2"/>
    </x:row>
    <x:row r="211" ht="23" customHeight="1">
      <x:c r="A211" s="2"/>
      <x:c r="B211" s="2"/>
      <x:c r="C211" s="2"/>
    </x:row>
    <x:row r="212" ht="23" customHeight="1">
      <x:c r="A212" s="2"/>
      <x:c r="B212" s="2"/>
      <x:c r="C212" s="2"/>
    </x:row>
    <x:row r="213" ht="23" customHeight="1">
      <x:c r="A213" s="2"/>
      <x:c r="B213" s="2"/>
      <x:c r="C213" s="2"/>
    </x:row>
    <x:row r="214" ht="23" customHeight="1">
      <x:c r="A214" s="2"/>
      <x:c r="B214" s="2"/>
      <x:c r="C214" s="2"/>
    </x:row>
    <x:row r="215" ht="23" customHeight="1">
      <x:c r="A215" s="2"/>
      <x:c r="B215" s="2"/>
      <x:c r="C215" s="2"/>
    </x:row>
    <x:row r="216" ht="23" customHeight="1">
      <x:c r="A216" s="2"/>
      <x:c r="B216" s="2"/>
      <x:c r="C216" s="2"/>
    </x:row>
    <x:row r="217" ht="23" customHeight="1">
      <x:c r="A217" s="2"/>
      <x:c r="B217" s="2"/>
      <x:c r="C217" s="2"/>
    </x:row>
    <x:row r="218" ht="23" customHeight="1">
      <x:c r="A218" s="2"/>
      <x:c r="B218" s="2"/>
      <x:c r="C218" s="2"/>
    </x:row>
    <x:row r="219" ht="23" customHeight="1">
      <x:c r="A219" s="2"/>
      <x:c r="B219" s="2"/>
      <x:c r="C219" s="2"/>
    </x:row>
    <x:row r="220" ht="23" customHeight="1">
      <x:c r="A220" s="2"/>
      <x:c r="B220" s="2"/>
      <x:c r="C220" s="2"/>
    </x:row>
    <x:row r="221" ht="23" customHeight="1">
      <x:c r="A221" s="2"/>
      <x:c r="B221" s="2"/>
      <x:c r="C221" s="2"/>
    </x:row>
    <x:row r="222" ht="23" customHeight="1">
      <x:c r="A222" s="2"/>
      <x:c r="B222" s="2"/>
      <x:c r="C222" s="2"/>
    </x:row>
    <x:row r="223" ht="23" customHeight="1">
      <x:c r="A223" s="2"/>
      <x:c r="B223" s="2"/>
      <x:c r="C223" s="2"/>
    </x:row>
    <x:row r="224" ht="23" customHeight="1">
      <x:c r="A224" s="2"/>
      <x:c r="B224" s="2"/>
      <x:c r="C224" s="2"/>
    </x:row>
    <x:row r="225" ht="23" customHeight="1">
      <x:c r="A225" s="2"/>
      <x:c r="B225" s="2"/>
      <x:c r="C225" s="2"/>
    </x:row>
    <x:row r="226" ht="23" customHeight="1">
      <x:c r="A226" s="2"/>
      <x:c r="B226" s="2"/>
      <x:c r="C226" s="2"/>
    </x:row>
    <x:row r="227" ht="23" customHeight="1">
      <x:c r="A227" s="2"/>
      <x:c r="B227" s="2"/>
      <x:c r="C227" s="2"/>
    </x:row>
    <x:row r="228" ht="23" customHeight="1">
      <x:c r="A228" s="2"/>
      <x:c r="B228" s="2"/>
      <x:c r="C228" s="2"/>
    </x:row>
    <x:row r="229" ht="23" customHeight="1">
      <x:c r="A229" s="2"/>
      <x:c r="B229" s="2"/>
      <x:c r="C229" s="2"/>
    </x:row>
    <x:row r="230" ht="23" customHeight="1">
      <x:c r="A230" s="2"/>
      <x:c r="B230" s="2"/>
      <x:c r="C230" s="2"/>
    </x:row>
    <x:row r="231" ht="23" customHeight="1">
      <x:c r="A231" s="2"/>
      <x:c r="B231" s="2"/>
      <x:c r="C231" s="2"/>
    </x:row>
    <x:row r="232" ht="23" customHeight="1">
      <x:c r="A232" s="2"/>
      <x:c r="B232" s="2"/>
      <x:c r="C232" s="2"/>
    </x:row>
    <x:row r="233" ht="23" customHeight="1">
      <x:c r="A233" s="2"/>
      <x:c r="B233" s="2"/>
      <x:c r="C233" s="2"/>
    </x:row>
    <x:row r="234" ht="23" customHeight="1">
      <x:c r="A234" s="2"/>
      <x:c r="B234" s="2"/>
      <x:c r="C234" s="2"/>
    </x:row>
    <x:row r="235" ht="23" customHeight="1">
      <x:c r="A235" s="2"/>
      <x:c r="B235" s="2"/>
      <x:c r="C235" s="2"/>
    </x:row>
    <x:row r="236" ht="23" customHeight="1">
      <x:c r="A236" s="2"/>
      <x:c r="B236" s="2"/>
      <x:c r="C236" s="2"/>
    </x:row>
    <x:row r="237" ht="23" customHeight="1">
      <x:c r="A237" s="2"/>
      <x:c r="B237" s="2"/>
      <x:c r="C237" s="2"/>
    </x:row>
    <x:row r="238" ht="23" customHeight="1">
      <x:c r="A238" s="2"/>
      <x:c r="B238" s="2"/>
      <x:c r="C238" s="2"/>
    </x:row>
    <x:row r="239" ht="23" customHeight="1">
      <x:c r="A239" s="2"/>
      <x:c r="B239" s="2"/>
      <x:c r="C239" s="2"/>
    </x:row>
    <x:row r="240" ht="23" customHeight="1">
      <x:c r="A240" s="2"/>
      <x:c r="B240" s="2"/>
      <x:c r="C240" s="2"/>
    </x:row>
    <x:row r="241" ht="23" customHeight="1">
      <x:c r="A241" s="2"/>
      <x:c r="B241" s="2"/>
      <x:c r="C241" s="2"/>
    </x:row>
    <x:row r="242" ht="23" customHeight="1">
      <x:c r="A242" s="2"/>
      <x:c r="B242" s="2"/>
      <x:c r="C242" s="2"/>
    </x:row>
    <x:row r="243" ht="23" customHeight="1">
      <x:c r="A243" s="2"/>
      <x:c r="B243" s="2"/>
      <x:c r="C243" s="2"/>
    </x:row>
    <x:row r="244" ht="23" customHeight="1">
      <x:c r="A244" s="2"/>
      <x:c r="B244" s="2"/>
      <x:c r="C244" s="2"/>
    </x:row>
    <x:row r="245" ht="23" customHeight="1">
      <x:c r="A245" s="2"/>
      <x:c r="B245" s="2"/>
      <x:c r="C245" s="2"/>
    </x:row>
    <x:row r="246" ht="23" customHeight="1">
      <x:c r="A246" s="2"/>
      <x:c r="B246" s="2"/>
      <x:c r="C246" s="2"/>
    </x:row>
    <x:row r="247" ht="23" customHeight="1">
      <x:c r="A247" s="2"/>
      <x:c r="B247" s="2"/>
      <x:c r="C247" s="2"/>
    </x:row>
    <x:row r="248" ht="23" customHeight="1">
      <x:c r="A248" s="2"/>
      <x:c r="B248" s="2"/>
      <x:c r="C248" s="2"/>
    </x:row>
    <x:row r="249" ht="23" customHeight="1">
      <x:c r="A249" s="2"/>
      <x:c r="B249" s="2"/>
      <x:c r="C249" s="2"/>
    </x:row>
    <x:row r="250" ht="23" customHeight="1">
      <x:c r="A250" s="2"/>
      <x:c r="B250" s="2"/>
      <x:c r="C250" s="2"/>
    </x:row>
    <x:row r="251" ht="23" customHeight="1">
      <x:c r="A251" s="2"/>
      <x:c r="B251" s="2"/>
      <x:c r="C251" s="2"/>
    </x:row>
    <x:row r="252" ht="23" customHeight="1">
      <x:c r="A252" s="2"/>
      <x:c r="B252" s="2"/>
      <x:c r="C252" s="2"/>
    </x:row>
    <x:row r="253" ht="23" customHeight="1">
      <x:c r="A253" s="2"/>
      <x:c r="B253" s="2"/>
      <x:c r="C253" s="2"/>
    </x:row>
    <x:row r="254" ht="23" customHeight="1">
      <x:c r="A254" s="2"/>
      <x:c r="B254" s="2"/>
      <x:c r="C254" s="2"/>
    </x:row>
    <x:row r="255" ht="23" customHeight="1">
      <x:c r="A255" s="2"/>
      <x:c r="B255" s="2"/>
      <x:c r="C255" s="2"/>
    </x:row>
    <x:row r="256" ht="23" customHeight="1">
      <x:c r="A256" s="2"/>
      <x:c r="B256" s="2"/>
      <x:c r="C256" s="2"/>
    </x:row>
    <x:row r="257" ht="23" customHeight="1">
      <x:c r="A257" s="2"/>
      <x:c r="B257" s="2"/>
      <x:c r="C257" s="2"/>
    </x:row>
    <x:row r="258" ht="23" customHeight="1">
      <x:c r="A258" s="2"/>
      <x:c r="B258" s="2"/>
      <x:c r="C258" s="2"/>
    </x:row>
    <x:row r="259" ht="23" customHeight="1">
      <x:c r="A259" s="2"/>
      <x:c r="B259" s="2"/>
      <x:c r="C259" s="2"/>
    </x:row>
    <x:row r="260" ht="23" customHeight="1">
      <x:c r="A260" s="2"/>
      <x:c r="B260" s="2"/>
      <x:c r="C260" s="2"/>
    </x:row>
    <x:row r="261" ht="23" customHeight="1">
      <x:c r="A261" s="2"/>
      <x:c r="B261" s="2"/>
      <x:c r="C261" s="2"/>
    </x:row>
    <x:row r="262" ht="23" customHeight="1">
      <x:c r="A262" s="2"/>
      <x:c r="B262" s="2"/>
      <x:c r="C262" s="2"/>
    </x:row>
    <x:row r="263" ht="23" customHeight="1">
      <x:c r="A263" s="2"/>
      <x:c r="B263" s="2"/>
      <x:c r="C263" s="2"/>
    </x:row>
    <x:row r="264" ht="23" customHeight="1">
      <x:c r="A264" s="2"/>
      <x:c r="B264" s="2"/>
      <x:c r="C264" s="2"/>
    </x:row>
    <x:row r="265" ht="23" customHeight="1">
      <x:c r="A265" s="2"/>
      <x:c r="B265" s="2"/>
      <x:c r="C265" s="2"/>
    </x:row>
    <x:row r="266" ht="23" customHeight="1">
      <x:c r="A266" s="2"/>
      <x:c r="B266" s="2"/>
      <x:c r="C266" s="2"/>
    </x:row>
    <x:row r="267" ht="23" customHeight="1">
      <x:c r="A267" s="2"/>
      <x:c r="B267" s="2"/>
      <x:c r="C267" s="2"/>
    </x:row>
    <x:row r="268" ht="23" customHeight="1">
      <x:c r="A268" s="2"/>
      <x:c r="B268" s="2"/>
      <x:c r="C268" s="2"/>
    </x:row>
    <x:row r="269" ht="23" customHeight="1">
      <x:c r="A269" s="2"/>
      <x:c r="B269" s="2"/>
      <x:c r="C269" s="2"/>
    </x:row>
    <x:row r="270" ht="23" customHeight="1">
      <x:c r="A270" s="2"/>
      <x:c r="B270" s="2"/>
      <x:c r="C270" s="2"/>
    </x:row>
    <x:row r="271" ht="23" customHeight="1">
      <x:c r="A271" s="2"/>
      <x:c r="B271" s="2"/>
      <x:c r="C271" s="2"/>
    </x:row>
    <x:row r="272" ht="23" customHeight="1">
      <x:c r="A272" s="2"/>
      <x:c r="B272" s="2"/>
      <x:c r="C272" s="2"/>
    </x:row>
    <x:row r="273" ht="23" customHeight="1">
      <x:c r="A273" s="2"/>
      <x:c r="B273" s="2"/>
      <x:c r="C273" s="2"/>
    </x:row>
    <x:row r="274" ht="23" customHeight="1">
      <x:c r="A274" s="2"/>
      <x:c r="B274" s="2"/>
      <x:c r="C274" s="2"/>
    </x:row>
    <x:row r="275" ht="23" customHeight="1">
      <x:c r="A275" s="2"/>
      <x:c r="B275" s="2"/>
      <x:c r="C275" s="2"/>
    </x:row>
    <x:row r="276" ht="23" customHeight="1">
      <x:c r="A276" s="2"/>
      <x:c r="B276" s="2"/>
      <x:c r="C276" s="2"/>
    </x:row>
    <x:row r="277" ht="23" customHeight="1">
      <x:c r="A277" s="2"/>
      <x:c r="B277" s="2"/>
      <x:c r="C277" s="2"/>
    </x:row>
    <x:row r="278" ht="23" customHeight="1">
      <x:c r="A278" s="2"/>
      <x:c r="B278" s="2"/>
      <x:c r="C278" s="2"/>
    </x:row>
    <x:row r="279" ht="23" customHeight="1">
      <x:c r="A279" s="2"/>
      <x:c r="B279" s="2"/>
      <x:c r="C279" s="2"/>
    </x:row>
    <x:row r="280" ht="23" customHeight="1">
      <x:c r="A280" s="2"/>
      <x:c r="B280" s="2"/>
      <x:c r="C280" s="2"/>
    </x:row>
    <x:row r="281" ht="23" customHeight="1">
      <x:c r="A281" s="2"/>
      <x:c r="B281" s="2"/>
      <x:c r="C281" s="2"/>
    </x:row>
    <x:row r="282" ht="23" customHeight="1">
      <x:c r="A282" s="2"/>
      <x:c r="B282" s="2"/>
      <x:c r="C282" s="2"/>
    </x:row>
    <x:row r="283" ht="23" customHeight="1">
      <x:c r="A283" s="2"/>
      <x:c r="B283" s="2"/>
      <x:c r="C283" s="2"/>
    </x:row>
    <x:row r="284" ht="23" customHeight="1">
      <x:c r="A284" s="2"/>
      <x:c r="B284" s="2"/>
      <x:c r="C284" s="2"/>
    </x:row>
    <x:row r="285" ht="23" customHeight="1">
      <x:c r="A285" s="2"/>
      <x:c r="B285" s="2"/>
      <x:c r="C285" s="2"/>
    </x:row>
    <x:row r="286" ht="23" customHeight="1">
      <x:c r="A286" s="2"/>
      <x:c r="B286" s="2"/>
      <x:c r="C286" s="2"/>
    </x:row>
    <x:row r="287" ht="23" customHeight="1">
      <x:c r="A287" s="2"/>
      <x:c r="B287" s="2"/>
      <x:c r="C287" s="2"/>
    </x:row>
    <x:row r="288" ht="23" customHeight="1">
      <x:c r="A288" s="2"/>
      <x:c r="B288" s="2"/>
      <x:c r="C288" s="2"/>
    </x:row>
    <x:row r="289" ht="23" customHeight="1">
      <x:c r="A289" s="2"/>
      <x:c r="B289" s="2"/>
      <x:c r="C289" s="2"/>
    </x:row>
    <x:row r="290" ht="23" customHeight="1">
      <x:c r="A290" s="2"/>
      <x:c r="B290" s="2"/>
      <x:c r="C290" s="2"/>
    </x:row>
    <x:row r="291" ht="23" customHeight="1">
      <x:c r="A291" s="2"/>
      <x:c r="B291" s="2"/>
      <x:c r="C291" s="2"/>
    </x:row>
    <x:row r="292" ht="23" customHeight="1">
      <x:c r="A292" s="2"/>
      <x:c r="B292" s="2"/>
      <x:c r="C292" s="2"/>
    </x:row>
    <x:row r="293" ht="23" customHeight="1">
      <x:c r="A293" s="2"/>
      <x:c r="B293" s="2"/>
      <x:c r="C293" s="2"/>
    </x:row>
    <x:row r="294" ht="23" customHeight="1">
      <x:c r="A294" s="2"/>
      <x:c r="B294" s="2"/>
      <x:c r="C294" s="2"/>
    </x:row>
    <x:row r="295" ht="23" customHeight="1">
      <x:c r="A295" s="2"/>
      <x:c r="B295" s="2"/>
      <x:c r="C295" s="2"/>
    </x:row>
    <x:row r="296" ht="23" customHeight="1">
      <x:c r="A296" s="2"/>
      <x:c r="B296" s="2"/>
      <x:c r="C296" s="2"/>
    </x:row>
    <x:row r="297" ht="23" customHeight="1">
      <x:c r="A297" s="2"/>
      <x:c r="B297" s="2"/>
      <x:c r="C297" s="2"/>
    </x:row>
    <x:row r="298" ht="23" customHeight="1">
      <x:c r="A298" s="2"/>
      <x:c r="B298" s="2"/>
      <x:c r="C298" s="2"/>
    </x:row>
    <x:row r="299" ht="23" customHeight="1">
      <x:c r="A299" s="2"/>
      <x:c r="B299" s="2"/>
      <x:c r="C299" s="2"/>
    </x:row>
    <x:row r="300" ht="23" customHeight="1">
      <x:c r="A300" s="2"/>
      <x:c r="B300" s="2"/>
      <x:c r="C300" s="2"/>
    </x:row>
    <x:row r="301" ht="23" customHeight="1">
      <x:c r="A301" s="2"/>
      <x:c r="B301" s="2"/>
      <x:c r="C301" s="2"/>
    </x:row>
    <x:row r="302" ht="23" customHeight="1">
      <x:c r="A302" s="2"/>
      <x:c r="B302" s="2"/>
      <x:c r="C302" s="2"/>
    </x:row>
    <x:row r="303" ht="23" customHeight="1">
      <x:c r="A303" s="2"/>
      <x:c r="B303" s="2"/>
      <x:c r="C303" s="2"/>
    </x:row>
    <x:row r="304" ht="23" customHeight="1">
      <x:c r="A304" s="2"/>
      <x:c r="B304" s="2"/>
      <x:c r="C304" s="2"/>
    </x:row>
    <x:row r="305" ht="23" customHeight="1">
      <x:c r="A305" s="2"/>
      <x:c r="B305" s="2"/>
      <x:c r="C305" s="2"/>
    </x:row>
    <x:row r="306" ht="23" customHeight="1">
      <x:c r="A306" s="2"/>
      <x:c r="B306" s="2"/>
      <x:c r="C306" s="2"/>
    </x:row>
    <x:row r="307" ht="23" customHeight="1">
      <x:c r="A307" s="2"/>
      <x:c r="B307" s="2"/>
      <x:c r="C307" s="2"/>
    </x:row>
    <x:row r="308" ht="23" customHeight="1">
      <x:c r="A308" s="2"/>
      <x:c r="B308" s="2"/>
      <x:c r="C308" s="2"/>
    </x:row>
    <x:row r="309" ht="23" customHeight="1">
      <x:c r="A309" s="2"/>
      <x:c r="B309" s="2"/>
      <x:c r="C309" s="2"/>
    </x:row>
    <x:row r="310" ht="23" customHeight="1">
      <x:c r="A310" s="2"/>
      <x:c r="B310" s="2"/>
      <x:c r="C310" s="2"/>
    </x:row>
    <x:row r="311" ht="23" customHeight="1">
      <x:c r="A311" s="2"/>
      <x:c r="B311" s="2"/>
      <x:c r="C311" s="2"/>
    </x:row>
    <x:row r="312" ht="23" customHeight="1">
      <x:c r="A312" s="2"/>
      <x:c r="B312" s="2"/>
      <x:c r="C312" s="2"/>
    </x:row>
    <x:row r="313" ht="23" customHeight="1">
      <x:c r="A313" s="2"/>
      <x:c r="B313" s="2"/>
      <x:c r="C313" s="2"/>
    </x:row>
    <x:row r="314" ht="23" customHeight="1">
      <x:c r="A314" s="2"/>
      <x:c r="B314" s="2"/>
      <x:c r="C314" s="2"/>
    </x:row>
    <x:row r="315" ht="23" customHeight="1">
      <x:c r="A315" s="2"/>
      <x:c r="B315" s="2"/>
      <x:c r="C315" s="2"/>
    </x:row>
    <x:row r="316" ht="23" customHeight="1">
      <x:c r="A316" s="2"/>
      <x:c r="B316" s="2"/>
      <x:c r="C316" s="2"/>
    </x:row>
    <x:row r="317" ht="23" customHeight="1">
      <x:c r="A317" s="2"/>
      <x:c r="B317" s="2"/>
      <x:c r="C317" s="2"/>
    </x:row>
    <x:row r="318" ht="23" customHeight="1">
      <x:c r="A318" s="2"/>
      <x:c r="B318" s="2"/>
      <x:c r="C318" s="2"/>
    </x:row>
    <x:row r="319" ht="23" customHeight="1">
      <x:c r="A319" s="2"/>
      <x:c r="B319" s="2"/>
      <x:c r="C319" s="2"/>
    </x:row>
    <x:row r="320" ht="23" customHeight="1">
      <x:c r="A320" s="2"/>
      <x:c r="B320" s="2"/>
      <x:c r="C320" s="2"/>
    </x:row>
    <x:row r="321" ht="23" customHeight="1">
      <x:c r="A321" s="2"/>
      <x:c r="B321" s="2"/>
      <x:c r="C321" s="2"/>
    </x:row>
    <x:row r="322" ht="23" customHeight="1">
      <x:c r="A322" s="2"/>
      <x:c r="B322" s="2"/>
      <x:c r="C322" s="2"/>
    </x:row>
    <x:row r="323" ht="23" customHeight="1">
      <x:c r="A323" s="2"/>
      <x:c r="B323" s="2"/>
      <x:c r="C323" s="2"/>
    </x:row>
    <x:row r="324" ht="23" customHeight="1">
      <x:c r="A324" s="2"/>
      <x:c r="B324" s="2"/>
      <x:c r="C324" s="2"/>
    </x:row>
    <x:row r="325" ht="23" customHeight="1">
      <x:c r="A325" s="2"/>
      <x:c r="B325" s="2"/>
      <x:c r="C325" s="2"/>
    </x:row>
    <x:row r="326" ht="23" customHeight="1">
      <x:c r="A326" s="2"/>
      <x:c r="B326" s="2"/>
      <x:c r="C326" s="2"/>
    </x:row>
    <x:row r="327" ht="23" customHeight="1">
      <x:c r="A327" s="2"/>
      <x:c r="B327" s="2"/>
      <x:c r="C327" s="2"/>
    </x:row>
    <x:row r="328" ht="23" customHeight="1">
      <x:c r="A328" s="2"/>
      <x:c r="B328" s="2"/>
      <x:c r="C328" s="2"/>
    </x:row>
    <x:row r="329" ht="23" customHeight="1">
      <x:c r="A329" s="2"/>
      <x:c r="B329" s="2"/>
      <x:c r="C329" s="2"/>
    </x:row>
    <x:row r="330" ht="23" customHeight="1">
      <x:c r="A330" s="2"/>
      <x:c r="B330" s="2"/>
      <x:c r="C330" s="2"/>
    </x:row>
    <x:row r="331" ht="23" customHeight="1">
      <x:c r="A331" s="2"/>
      <x:c r="B331" s="2"/>
      <x:c r="C331" s="2"/>
    </x:row>
    <x:row r="332" ht="23" customHeight="1">
      <x:c r="A332" s="2"/>
      <x:c r="B332" s="2"/>
      <x:c r="C332" s="2"/>
    </x:row>
    <x:row r="333" ht="23" customHeight="1">
      <x:c r="A333" s="2"/>
      <x:c r="B333" s="2"/>
      <x:c r="C333" s="2"/>
    </x:row>
    <x:row r="334" ht="23" customHeight="1">
      <x:c r="A334" s="2"/>
      <x:c r="B334" s="2"/>
      <x:c r="C334" s="2"/>
    </x:row>
    <x:row r="335" ht="23" customHeight="1">
      <x:c r="A335" s="2"/>
      <x:c r="B335" s="2"/>
      <x:c r="C335" s="2"/>
    </x:row>
    <x:row r="336" ht="23" customHeight="1">
      <x:c r="A336" s="2"/>
      <x:c r="B336" s="2"/>
      <x:c r="C336" s="2"/>
    </x:row>
    <x:row r="337" ht="23" customHeight="1">
      <x:c r="A337" s="2"/>
      <x:c r="B337" s="2"/>
      <x:c r="C337" s="2"/>
    </x:row>
    <x:row r="338" ht="23" customHeight="1">
      <x:c r="A338" s="2"/>
      <x:c r="B338" s="2"/>
      <x:c r="C338" s="2"/>
    </x:row>
    <x:row r="339" ht="23" customHeight="1">
      <x:c r="A339" s="2"/>
      <x:c r="B339" s="2"/>
      <x:c r="C339" s="2"/>
    </x:row>
    <x:row r="340" ht="23" customHeight="1">
      <x:c r="A340" s="2"/>
      <x:c r="B340" s="2"/>
      <x:c r="C340" s="2"/>
    </x:row>
    <x:row r="341" ht="23" customHeight="1">
      <x:c r="A341" s="2"/>
      <x:c r="B341" s="2"/>
      <x:c r="C341" s="2"/>
    </x:row>
    <x:row r="342" ht="23" customHeight="1">
      <x:c r="A342" s="2"/>
      <x:c r="B342" s="2"/>
      <x:c r="C342" s="2"/>
    </x:row>
    <x:row r="343" ht="23" customHeight="1">
      <x:c r="A343" s="2"/>
      <x:c r="B343" s="2"/>
      <x:c r="C343" s="2"/>
    </x:row>
    <x:row r="344" ht="23" customHeight="1">
      <x:c r="A344" s="2"/>
      <x:c r="B344" s="2"/>
      <x:c r="C344" s="2"/>
    </x:row>
    <x:row r="345" ht="23" customHeight="1">
      <x:c r="A345" s="2"/>
      <x:c r="B345" s="2"/>
      <x:c r="C345" s="2"/>
    </x:row>
    <x:row r="346" ht="23" customHeight="1">
      <x:c r="A346" s="2"/>
      <x:c r="B346" s="2"/>
      <x:c r="C346" s="2"/>
    </x:row>
    <x:row r="347" ht="23" customHeight="1">
      <x:c r="A347" s="2"/>
      <x:c r="B347" s="2"/>
      <x:c r="C347" s="2"/>
    </x:row>
    <x:row r="348" ht="23" customHeight="1">
      <x:c r="A348" s="2"/>
      <x:c r="B348" s="2"/>
      <x:c r="C348" s="2"/>
    </x:row>
    <x:row r="349" ht="23" customHeight="1">
      <x:c r="A349" s="2"/>
      <x:c r="B349" s="2"/>
      <x:c r="C349" s="2"/>
    </x:row>
    <x:row r="350" ht="23" customHeight="1">
      <x:c r="A350" s="2"/>
      <x:c r="B350" s="2"/>
      <x:c r="C350" s="2"/>
    </x:row>
    <x:row r="351" ht="23" customHeight="1">
      <x:c r="A351" s="2"/>
      <x:c r="B351" s="2"/>
      <x:c r="C351" s="2"/>
    </x:row>
    <x:row r="352" ht="23" customHeight="1">
      <x:c r="A352" s="2"/>
      <x:c r="B352" s="2"/>
      <x:c r="C352" s="2"/>
    </x:row>
    <x:row r="353" ht="23" customHeight="1">
      <x:c r="A353" s="2"/>
      <x:c r="B353" s="2"/>
      <x:c r="C353" s="2"/>
    </x:row>
    <x:row r="354" ht="23" customHeight="1">
      <x:c r="A354" s="2"/>
      <x:c r="B354" s="2"/>
      <x:c r="C354" s="2"/>
    </x:row>
    <x:row r="355" ht="23" customHeight="1">
      <x:c r="A355" s="2"/>
      <x:c r="B355" s="2"/>
      <x:c r="C355" s="2"/>
    </x:row>
    <x:row r="356" ht="23" customHeight="1">
      <x:c r="A356" s="2"/>
      <x:c r="B356" s="2"/>
      <x:c r="C356" s="2"/>
    </x:row>
    <x:row r="357" ht="23" customHeight="1">
      <x:c r="A357" s="2"/>
      <x:c r="B357" s="2"/>
      <x:c r="C357" s="2"/>
    </x:row>
    <x:row r="358" ht="23" customHeight="1">
      <x:c r="A358" s="2"/>
      <x:c r="B358" s="2"/>
      <x:c r="C358" s="2"/>
    </x:row>
    <x:row r="359" ht="23" customHeight="1">
      <x:c r="A359" s="2"/>
      <x:c r="B359" s="2"/>
      <x:c r="C359" s="2"/>
    </x:row>
    <x:row r="360" ht="23" customHeight="1">
      <x:c r="A360" s="2"/>
      <x:c r="B360" s="2"/>
      <x:c r="C360" s="2"/>
    </x:row>
    <x:row r="361" ht="23" customHeight="1">
      <x:c r="A361" s="2"/>
      <x:c r="B361" s="2"/>
      <x:c r="C361" s="2"/>
    </x:row>
    <x:row r="362" ht="23" customHeight="1">
      <x:c r="A362" s="2"/>
      <x:c r="B362" s="2"/>
      <x:c r="C362" s="2"/>
    </x:row>
    <x:row r="363" ht="23" customHeight="1">
      <x:c r="A363" s="2"/>
      <x:c r="B363" s="2"/>
      <x:c r="C363" s="2"/>
    </x:row>
    <x:row r="364" ht="23" customHeight="1">
      <x:c r="A364" s="2"/>
      <x:c r="B364" s="2"/>
      <x:c r="C364" s="2"/>
    </x:row>
    <x:row r="365" ht="23" customHeight="1">
      <x:c r="A365" s="2"/>
      <x:c r="B365" s="2"/>
      <x:c r="C365" s="2"/>
    </x:row>
    <x:row r="366" ht="23" customHeight="1">
      <x:c r="A366" s="2"/>
      <x:c r="B366" s="2"/>
      <x:c r="C366" s="2"/>
    </x:row>
    <x:row r="367" ht="23" customHeight="1">
      <x:c r="A367" s="2"/>
      <x:c r="B367" s="2"/>
      <x:c r="C367" s="2"/>
    </x:row>
    <x:row r="368" ht="23" customHeight="1">
      <x:c r="A368" s="2"/>
      <x:c r="B368" s="2"/>
      <x:c r="C368" s="2"/>
    </x:row>
    <x:row r="369" ht="23" customHeight="1">
      <x:c r="A369" s="2"/>
      <x:c r="B369" s="2"/>
      <x:c r="C369" s="2"/>
    </x:row>
    <x:row r="370" ht="23" customHeight="1">
      <x:c r="A370" s="2"/>
      <x:c r="B370" s="2"/>
      <x:c r="C370" s="2"/>
    </x:row>
    <x:row r="371" ht="23" customHeight="1">
      <x:c r="A371" s="2"/>
      <x:c r="B371" s="2"/>
      <x:c r="C371" s="2"/>
    </x:row>
    <x:row r="372" ht="23" customHeight="1">
      <x:c r="A372" s="2"/>
      <x:c r="B372" s="2"/>
      <x:c r="C372" s="2"/>
    </x:row>
    <x:row r="373" ht="23" customHeight="1">
      <x:c r="A373" s="2"/>
      <x:c r="B373" s="2"/>
      <x:c r="C373" s="2"/>
    </x:row>
    <x:row r="374" ht="23" customHeight="1">
      <x:c r="A374" s="2"/>
      <x:c r="B374" s="2"/>
      <x:c r="C374" s="2"/>
    </x:row>
    <x:row r="375" ht="23" customHeight="1">
      <x:c r="A375" s="2"/>
      <x:c r="B375" s="2"/>
      <x:c r="C375" s="2"/>
    </x:row>
    <x:row r="376" ht="23" customHeight="1">
      <x:c r="A376" s="2"/>
      <x:c r="B376" s="2"/>
      <x:c r="C376" s="2"/>
    </x:row>
    <x:row r="377" ht="23" customHeight="1">
      <x:c r="A377" s="2"/>
      <x:c r="B377" s="2"/>
      <x:c r="C377" s="2"/>
    </x:row>
    <x:row r="378" ht="23" customHeight="1">
      <x:c r="A378" s="2"/>
      <x:c r="B378" s="2"/>
      <x:c r="C378" s="2"/>
    </x:row>
    <x:row r="379" ht="23" customHeight="1">
      <x:c r="A379" s="2"/>
      <x:c r="B379" s="2"/>
      <x:c r="C379" s="2"/>
    </x:row>
    <x:row r="380" ht="23" customHeight="1">
      <x:c r="A380" s="2"/>
      <x:c r="B380" s="2"/>
      <x:c r="C380" s="2"/>
    </x:row>
    <x:row r="381" ht="23" customHeight="1">
      <x:c r="A381" s="2"/>
      <x:c r="B381" s="2"/>
      <x:c r="C381" s="2"/>
    </x:row>
    <x:row r="382" ht="23" customHeight="1">
      <x:c r="A382" s="2"/>
      <x:c r="B382" s="2"/>
      <x:c r="C382" s="2"/>
    </x:row>
    <x:row r="383" ht="23" customHeight="1">
      <x:c r="A383" s="2"/>
      <x:c r="B383" s="2"/>
      <x:c r="C383" s="2"/>
    </x:row>
    <x:row r="384" ht="23" customHeight="1">
      <x:c r="A384" s="2"/>
      <x:c r="B384" s="2"/>
      <x:c r="C384" s="2"/>
    </x:row>
    <x:row r="385" ht="23" customHeight="1">
      <x:c r="A385" s="2"/>
      <x:c r="B385" s="2"/>
      <x:c r="C385" s="2"/>
    </x:row>
    <x:row r="386" ht="23" customHeight="1">
      <x:c r="A386" s="2"/>
      <x:c r="B386" s="2"/>
      <x:c r="C386" s="2"/>
    </x:row>
    <x:row r="387" ht="23" customHeight="1">
      <x:c r="A387" s="2"/>
      <x:c r="B387" s="2"/>
      <x:c r="C387" s="2"/>
    </x:row>
    <x:row r="388" ht="23" customHeight="1">
      <x:c r="A388" s="2"/>
      <x:c r="B388" s="2"/>
      <x:c r="C388" s="2"/>
    </x:row>
    <x:row r="389" ht="23" customHeight="1">
      <x:c r="A389" s="2"/>
      <x:c r="B389" s="2"/>
      <x:c r="C389" s="2"/>
    </x:row>
    <x:row r="390" ht="23" customHeight="1">
      <x:c r="A390" s="2"/>
      <x:c r="B390" s="2"/>
      <x:c r="C390" s="2"/>
    </x:row>
    <x:row r="391" ht="23" customHeight="1">
      <x:c r="A391" s="2"/>
      <x:c r="B391" s="2"/>
      <x:c r="C391" s="2"/>
    </x:row>
    <x:row r="392" ht="23" customHeight="1">
      <x:c r="A392" s="2"/>
      <x:c r="B392" s="2"/>
      <x:c r="C392" s="2"/>
    </x:row>
    <x:row r="393" ht="23" customHeight="1">
      <x:c r="A393" s="2"/>
      <x:c r="B393" s="2"/>
      <x:c r="C393" s="2"/>
    </x:row>
    <x:row r="394" ht="23" customHeight="1">
      <x:c r="A394" s="2"/>
      <x:c r="B394" s="2"/>
      <x:c r="C394" s="2"/>
    </x:row>
    <x:row r="395" ht="23" customHeight="1">
      <x:c r="A395" s="2"/>
      <x:c r="B395" s="2"/>
      <x:c r="C395" s="2"/>
    </x:row>
    <x:row r="396" ht="23" customHeight="1">
      <x:c r="A396" s="2"/>
      <x:c r="B396" s="2"/>
      <x:c r="C396" s="2"/>
    </x:row>
    <x:row r="397" ht="23" customHeight="1">
      <x:c r="A397" s="2"/>
      <x:c r="B397" s="2"/>
      <x:c r="C397" s="2"/>
    </x:row>
    <x:row r="398" ht="23" customHeight="1">
      <x:c r="A398" s="2"/>
      <x:c r="B398" s="2"/>
      <x:c r="C398" s="2"/>
    </x:row>
    <x:row r="399" ht="23" customHeight="1">
      <x:c r="A399" s="2"/>
      <x:c r="B399" s="2"/>
      <x:c r="C399" s="2"/>
    </x:row>
    <x:row r="400" ht="23" customHeight="1">
      <x:c r="A400" s="2"/>
      <x:c r="B400" s="2"/>
      <x:c r="C400" s="2"/>
    </x:row>
  </x:sheetData>
  <x:mergeCells>
    <x:mergeCell ref="A1:C1"/>
    <x:mergeCell ref="A2:C2"/>
    <x:mergeCell ref="A17:C17"/>
    <x:mergeCell ref="A18:C18"/>
    <x:mergeCell ref="A19:C19"/>
    <x:mergeCell ref="A20:C20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02C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3" customHeight="1">
      <x:c r="A1" s="4" t="str">
        <x:v>来源目录</x:v>
      </x:c>
      <x:c r="B1" s="4"/>
      <x:c r="C1" s="4"/>
      <x:c r="D1" s="4"/>
      <x:c r="E1" s="4"/>
      <x:c r="F1" s="4"/>
      <x:c r="G1" s="4"/>
      <x:c r="H1" s="4"/>
    </x:row>
    <x:row r="2" ht="30" customHeight="1">
      <x:c r="A2" s="5" t="str">
        <x:v>明文 URL 可复制；主要数字另有原始 PDF / HTML 本地留档。检索日为 2026-09-05。</x:v>
      </x:c>
      <x:c r="B2" s="5"/>
      <x:c r="C2" s="5"/>
      <x:c r="D2" s="5"/>
      <x:c r="E2" s="5"/>
      <x:c r="F2" s="5"/>
      <x:c r="G2" s="5"/>
      <x:c r="H2" s="5"/>
    </x:row>
    <x:row r="3" ht="23" customHeight="1">
      <x:c r="A3" s="2"/>
      <x:c r="B3" s="2"/>
      <x:c r="C3" s="2"/>
      <x:c r="D3" s="2"/>
      <x:c r="E3" s="2"/>
      <x:c r="F3" s="2"/>
      <x:c r="G3" s="2"/>
      <x:c r="H3" s="2"/>
    </x:row>
    <x:row r="4" ht="29" customHeight="1">
      <x:c r="A4" s="62" t="str">
        <x:v>P01  Q2 2026 earnings release</x:v>
      </x:c>
      <x:c r="B4" s="7"/>
      <x:c r="C4" s="7"/>
      <x:c r="D4" s="7"/>
      <x:c r="E4" s="7"/>
      <x:c r="F4" s="7"/>
      <x:c r="G4" s="7"/>
      <x:c r="H4" s="7"/>
    </x:row>
    <x:row r="5" ht="28" customHeight="1">
      <x:c r="A5" s="9" t="str">
        <x:v>2026-07-22；公司原始披露 / 一级来源；位置：2026Q2 / H1 / FY2026 guidance</x:v>
      </x:c>
      <x:c r="B5" s="9"/>
      <x:c r="C5" s="9"/>
      <x:c r="D5" s="9"/>
      <x:c r="E5" s="9"/>
      <x:c r="F5" s="9"/>
      <x:c r="G5" s="9"/>
      <x:c r="H5" s="9"/>
    </x:row>
    <x:row r="6" ht="28" customHeight="1">
      <x:c r="A6" s="64" t="str">
        <x:v>https://www.gevernova.com/sites/default/files/gev_webcast_pressrelease_07222026.pdf</x:v>
      </x:c>
      <x:c r="B6" s="14"/>
      <x:c r="C6" s="14"/>
      <x:c r="D6" s="14"/>
      <x:c r="E6" s="14"/>
      <x:c r="F6" s="14"/>
      <x:c r="G6" s="14"/>
      <x:c r="H6" s="14"/>
    </x:row>
    <x:row r="7" ht="42" customHeight="1">
      <x:c r="A7" s="9" t="str">
        <x:v>公司披露；含非GAAP指标、Prolec并表及长周期业务；全公司积压不等于AI订单。</x:v>
      </x:c>
      <x:c r="B7" s="9"/>
      <x:c r="C7" s="9"/>
      <x:c r="D7" s="9"/>
      <x:c r="E7" s="9"/>
      <x:c r="F7" s="9"/>
      <x:c r="G7" s="9"/>
      <x:c r="H7" s="9"/>
    </x:row>
    <x:row r="8" ht="23" customHeight="1">
      <x:c r="A8" s="2"/>
      <x:c r="B8" s="2"/>
      <x:c r="C8" s="2"/>
      <x:c r="D8" s="2"/>
      <x:c r="E8" s="2"/>
      <x:c r="F8" s="2"/>
      <x:c r="G8" s="2"/>
      <x:c r="H8" s="2"/>
    </x:row>
    <x:row r="9" ht="29" customHeight="1">
      <x:c r="A9" s="62" t="str">
        <x:v>P02  Q2 2026 management transcript</x:v>
      </x:c>
      <x:c r="B9" s="7"/>
      <x:c r="C9" s="7"/>
      <x:c r="D9" s="7"/>
      <x:c r="E9" s="7"/>
      <x:c r="F9" s="7"/>
      <x:c r="G9" s="7"/>
      <x:c r="H9" s="7"/>
    </x:row>
    <x:row r="10" ht="28" customHeight="1">
      <x:c r="A10" s="9" t="str">
        <x:v>2026-07-22；公司原始披露 / 一级来源；位置：2026Q2；2028/2030 capacity plans</x:v>
      </x:c>
      <x:c r="B10" s="9"/>
      <x:c r="C10" s="9"/>
      <x:c r="D10" s="9"/>
      <x:c r="E10" s="9"/>
      <x:c r="F10" s="9"/>
      <x:c r="G10" s="9"/>
      <x:c r="H10" s="9"/>
    </x:row>
    <x:row r="11" ht="28" customHeight="1">
      <x:c r="A11" s="64" t="str">
        <x:v>https://www.gevernova.com/sites/default/files/gev_webcast_transcript_07222026.pdf</x:v>
      </x:c>
      <x:c r="B11" s="14"/>
      <x:c r="C11" s="14"/>
      <x:c r="D11" s="14"/>
      <x:c r="E11" s="14"/>
      <x:c r="F11" s="14"/>
      <x:c r="G11" s="14"/>
      <x:c r="H11" s="14"/>
    </x:row>
    <x:row r="12" ht="42" customHeight="1">
      <x:c r="A12" s="9" t="str">
        <x:v>公司管理层判断和扩产计划；SRA仅为产能预订，不等同正式设备积压。与P01属于同次业绩披露。</x:v>
      </x:c>
      <x:c r="B12" s="9"/>
      <x:c r="C12" s="9"/>
      <x:c r="D12" s="9"/>
      <x:c r="E12" s="9"/>
      <x:c r="F12" s="9"/>
      <x:c r="G12" s="9"/>
      <x:c r="H12" s="9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</x:row>
    <x:row r="14" ht="29" customHeight="1">
      <x:c r="A14" s="62" t="str">
        <x:v>P03  Q2 2026 investor presentation</x:v>
      </x:c>
      <x:c r="B14" s="7"/>
      <x:c r="C14" s="7"/>
      <x:c r="D14" s="7"/>
      <x:c r="E14" s="7"/>
      <x:c r="F14" s="7"/>
      <x:c r="G14" s="7"/>
      <x:c r="H14" s="7"/>
    </x:row>
    <x:row r="15" ht="28" customHeight="1">
      <x:c r="A15" s="9" t="str">
        <x:v>2026-07-22；公司原始披露 / 一级来源；位置：2026Q2</x:v>
      </x:c>
      <x:c r="B15" s="9"/>
      <x:c r="C15" s="9"/>
      <x:c r="D15" s="9"/>
      <x:c r="E15" s="9"/>
      <x:c r="F15" s="9"/>
      <x:c r="G15" s="9"/>
      <x:c r="H15" s="9"/>
    </x:row>
    <x:row r="16" ht="28" customHeight="1">
      <x:c r="A16" s="64" t="str">
        <x:v>https://www.gevernova.com/sites/default/files/gev_webcast_presentation_07222026.pdf</x:v>
      </x:c>
      <x:c r="B16" s="14"/>
      <x:c r="C16" s="14"/>
      <x:c r="D16" s="14"/>
      <x:c r="E16" s="14"/>
      <x:c r="F16" s="14"/>
      <x:c r="G16" s="14"/>
      <x:c r="H16" s="14"/>
    </x:row>
    <x:row r="17" ht="42" customHeight="1">
      <x:c r="A17" s="9" t="str">
        <x:v>与P01/P02为同次披露，不能视作独立第三方交叉验证。</x:v>
      </x:c>
      <x:c r="B17" s="9"/>
      <x:c r="C17" s="9"/>
      <x:c r="D17" s="9"/>
      <x:c r="E17" s="9"/>
      <x:c r="F17" s="9"/>
      <x:c r="G17" s="9"/>
      <x:c r="H17" s="9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9" customHeight="1">
      <x:c r="A19" s="62" t="str">
        <x:v>P04  Q3 FY2026 earnings release and financial results</x:v>
      </x:c>
      <x:c r="B19" s="7"/>
      <x:c r="C19" s="7"/>
      <x:c r="D19" s="7"/>
      <x:c r="E19" s="7"/>
      <x:c r="F19" s="7"/>
      <x:c r="G19" s="7"/>
      <x:c r="H19" s="7"/>
    </x:row>
    <x:row r="20" ht="28" customHeight="1">
      <x:c r="A20" s="9" t="str">
        <x:v>2026-08-05；公司原始披露 / 一级来源；位置：FY2026Q3 ended 2026-06-30 / FY2026 guidance</x:v>
      </x:c>
      <x:c r="B20" s="9"/>
      <x:c r="C20" s="9"/>
      <x:c r="D20" s="9"/>
      <x:c r="E20" s="9"/>
      <x:c r="F20" s="9"/>
      <x:c r="G20" s="9"/>
      <x:c r="H20" s="9"/>
    </x:row>
    <x:row r="21" ht="28" customHeight="1">
      <x:c r="A21" s="64" t="str">
        <x:v>https://assets.siemens-energy.com/dam/30018eed-275d-4e73-811e-b49d004cdc3d/2026-08-05-Earnings_Release_Q3_FY26_EN-pdf_Original%20file.pdf</x:v>
      </x:c>
      <x:c r="B21" s="14"/>
      <x:c r="C21" s="14"/>
      <x:c r="D21" s="14"/>
      <x:c r="E21" s="14"/>
      <x:c r="F21" s="14"/>
      <x:c r="G21" s="14"/>
      <x:c r="H21" s="14"/>
    </x:row>
    <x:row r="22" ht="42" customHeight="1">
      <x:c r="A22" s="9" t="str">
        <x:v>财政年度截至9月；税前FCF指引不能和美国公司税后FCF直接比较。GS/GT积压包含大量非AI客户。</x:v>
      </x:c>
      <x:c r="B22" s="9"/>
      <x:c r="C22" s="9"/>
      <x:c r="D22" s="9"/>
      <x:c r="E22" s="9"/>
      <x:c r="F22" s="9"/>
      <x:c r="G22" s="9"/>
      <x:c r="H22" s="9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9" customHeight="1">
      <x:c r="A24" s="62" t="str">
        <x:v>P05  Q3 FY2026 analyst presentation</x:v>
      </x:c>
      <x:c r="B24" s="7"/>
      <x:c r="C24" s="7"/>
      <x:c r="D24" s="7"/>
      <x:c r="E24" s="7"/>
      <x:c r="F24" s="7"/>
      <x:c r="G24" s="7"/>
      <x:c r="H24" s="7"/>
    </x:row>
    <x:row r="25" ht="28" customHeight="1">
      <x:c r="A25" s="9" t="str">
        <x:v>2026-08-05；公司原始披露 / 一级来源；位置：FY2026Q3 / capacity to FY2030</x:v>
      </x:c>
      <x:c r="B25" s="9"/>
      <x:c r="C25" s="9"/>
      <x:c r="D25" s="9"/>
      <x:c r="E25" s="9"/>
      <x:c r="F25" s="9"/>
      <x:c r="G25" s="9"/>
      <x:c r="H25" s="9"/>
    </x:row>
    <x:row r="26" ht="28" customHeight="1">
      <x:c r="A26" s="64" t="str">
        <x:v>https://assets.siemens-energy.com/dam/3e846440-66dd-4a56-be75-b49d004e6741/2026-08-05_Q3_Analyst_presentation-pdf_Original%20file.pdf</x:v>
      </x:c>
      <x:c r="B26" s="14"/>
      <x:c r="C26" s="14"/>
      <x:c r="D26" s="14"/>
      <x:c r="E26" s="14"/>
      <x:c r="F26" s="14"/>
      <x:c r="G26" s="14"/>
      <x:c r="H26" s="14"/>
    </x:row>
    <x:row r="27" ht="42" customHeight="1">
      <x:c r="A27" s="9" t="str">
        <x:v>扩产为公司计划；图表数值需要保留机组大小和单位，不能将台数与GW混用。</x:v>
      </x:c>
      <x:c r="B27" s="9"/>
      <x:c r="C27" s="9"/>
      <x:c r="D27" s="9"/>
      <x:c r="E27" s="9"/>
      <x:c r="F27" s="9"/>
      <x:c r="G27" s="9"/>
      <x:c r="H27" s="9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9" customHeight="1">
      <x:c r="A29" s="62" t="str">
        <x:v>P06  2025 Capital Market Day — Gas Services</x:v>
      </x:c>
      <x:c r="B29" s="7"/>
      <x:c r="C29" s="7"/>
      <x:c r="D29" s="7"/>
      <x:c r="E29" s="7"/>
      <x:c r="F29" s="7"/>
      <x:c r="G29" s="7"/>
      <x:c r="H29" s="7"/>
    </x:row>
    <x:row r="30" ht="28" customHeight="1">
      <x:c r="A30" s="9" t="str">
        <x:v>2025-11-20；公司原始披露 / 一级来源；位置：FY2024-2030</x:v>
      </x:c>
      <x:c r="B30" s="9"/>
      <x:c r="C30" s="9"/>
      <x:c r="D30" s="9"/>
      <x:c r="E30" s="9"/>
      <x:c r="F30" s="9"/>
      <x:c r="G30" s="9"/>
      <x:c r="H30" s="9"/>
    </x:row>
    <x:row r="31" ht="28" customHeight="1">
      <x:c r="A31" s="64" t="str">
        <x:v>https://assets.siemens-energy.com/dam/5fc093ca-4fd8-482c-8390-b39b004f66f3/251120_CMD-2025_Gas_Services_FINAL-pdf_Original%20file.pdf</x:v>
      </x:c>
      <x:c r="B31" s="14"/>
      <x:c r="C31" s="14"/>
      <x:c r="D31" s="14"/>
      <x:c r="E31" s="14"/>
      <x:c r="F31" s="14"/>
      <x:c r="G31" s="14"/>
      <x:c r="H31" s="14"/>
    </x:row>
    <x:row r="32" ht="42" customHeight="1">
      <x:c r="A32" s="9" t="str">
        <x:v>2025年预测，扩产进度以2026年P05更新；GW口径包含联合循环蒸汽轮机容量。</x:v>
      </x:c>
      <x:c r="B32" s="9"/>
      <x:c r="C32" s="9"/>
      <x:c r="D32" s="9"/>
      <x:c r="E32" s="9"/>
      <x:c r="F32" s="9"/>
      <x:c r="G32" s="9"/>
      <x:c r="H32" s="9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9" customHeight="1">
      <x:c r="A34" s="62" t="str">
        <x:v>P07  2025 Capital Market Day — Grid Technologies</x:v>
      </x:c>
      <x:c r="B34" s="7"/>
      <x:c r="C34" s="7"/>
      <x:c r="D34" s="7"/>
      <x:c r="E34" s="7"/>
      <x:c r="F34" s="7"/>
      <x:c r="G34" s="7"/>
      <x:c r="H34" s="7"/>
    </x:row>
    <x:row r="35" ht="28" customHeight="1">
      <x:c r="A35" s="9" t="str">
        <x:v>2025-11-20；公司原始披露 / 一级来源；位置：FY2023-2030</x:v>
      </x:c>
      <x:c r="B35" s="9"/>
      <x:c r="C35" s="9"/>
      <x:c r="D35" s="9"/>
      <x:c r="E35" s="9"/>
      <x:c r="F35" s="9"/>
      <x:c r="G35" s="9"/>
      <x:c r="H35" s="9"/>
    </x:row>
    <x:row r="36" ht="28" customHeight="1">
      <x:c r="A36" s="64" t="str">
        <x:v>https://assets.siemens-energy.com/dam/d8d5d849-a7a9-4b19-a969-b39b004f6c26/251120_CMD-2025_Grid_Technologies_FINAL-pdf_Original%20file.pdf</x:v>
      </x:c>
      <x:c r="B36" s="14"/>
      <x:c r="C36" s="14"/>
      <x:c r="D36" s="14"/>
      <x:c r="E36" s="14"/>
      <x:c r="F36" s="14"/>
      <x:c r="G36" s="14"/>
      <x:c r="H36" s="14"/>
    </x:row>
    <x:row r="37" ht="42" customHeight="1">
      <x:c r="A37" s="9" t="str">
        <x:v>市场缺口图由公司内部估计，不能当独立行业统计；投资包含变压器、开关设备及地产。</x:v>
      </x:c>
      <x:c r="B37" s="9"/>
      <x:c r="C37" s="9"/>
      <x:c r="D37" s="9"/>
      <x:c r="E37" s="9"/>
      <x:c r="F37" s="9"/>
      <x:c r="G37" s="9"/>
      <x:c r="H37" s="9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9" customHeight="1">
      <x:c r="A39" s="62" t="str">
        <x:v>P08  Q2 2026 earnings release — SEC Exhibit 99</x:v>
      </x:c>
      <x:c r="B39" s="7"/>
      <x:c r="C39" s="7"/>
      <x:c r="D39" s="7"/>
      <x:c r="E39" s="7"/>
      <x:c r="F39" s="7"/>
      <x:c r="G39" s="7"/>
      <x:c r="H39" s="7"/>
    </x:row>
    <x:row r="40" ht="28" customHeight="1">
      <x:c r="A40" s="9" t="str">
        <x:v>2026-07-31；公司原始披露 / 一级来源；位置：2026Q2 / FY2026 guidance</x:v>
      </x:c>
      <x:c r="B40" s="9"/>
      <x:c r="C40" s="9"/>
      <x:c r="D40" s="9"/>
      <x:c r="E40" s="9"/>
      <x:c r="F40" s="9"/>
      <x:c r="G40" s="9"/>
      <x:c r="H40" s="9"/>
    </x:row>
    <x:row r="41" ht="28" customHeight="1">
      <x:c r="A41" s="64" t="str">
        <x:v>https://www.sec.gov/Archives/edgar/data/1551182/000155118226000027/etn06302026exhibit99.htm</x:v>
      </x:c>
      <x:c r="B41" s="14"/>
      <x:c r="C41" s="14"/>
      <x:c r="D41" s="14"/>
      <x:c r="E41" s="14"/>
      <x:c r="F41" s="14"/>
      <x:c r="G41" s="14"/>
      <x:c r="H41" s="14"/>
    </x:row>
    <x:row r="42" ht="42" customHeight="1">
      <x:c r="A42" s="9" t="str">
        <x:v>headline增长包含并购；滚动12个月订单增速不是当季订单同比；调整EPS有大额摊销/交易费用剔除。</x:v>
      </x:c>
      <x:c r="B42" s="9"/>
      <x:c r="C42" s="9"/>
      <x:c r="D42" s="9"/>
      <x:c r="E42" s="9"/>
      <x:c r="F42" s="9"/>
      <x:c r="G42" s="9"/>
      <x:c r="H42" s="9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</x:row>
    <x:row r="44" ht="29" customHeight="1">
      <x:c r="A44" s="62" t="str">
        <x:v>P09  Q2 2026 Form 10-Q</x:v>
      </x:c>
      <x:c r="B44" s="7"/>
      <x:c r="C44" s="7"/>
      <x:c r="D44" s="7"/>
      <x:c r="E44" s="7"/>
      <x:c r="F44" s="7"/>
      <x:c r="G44" s="7"/>
      <x:c r="H44" s="7"/>
    </x:row>
    <x:row r="45" ht="28" customHeight="1">
      <x:c r="A45" s="9" t="str">
        <x:v>2026-07-31；公司原始披露 / 一级来源；位置：2026Q2 / H1 ended 2026-06-30</x:v>
      </x:c>
      <x:c r="B45" s="9"/>
      <x:c r="C45" s="9"/>
      <x:c r="D45" s="9"/>
      <x:c r="E45" s="9"/>
      <x:c r="F45" s="9"/>
      <x:c r="G45" s="9"/>
      <x:c r="H45" s="9"/>
    </x:row>
    <x:row r="46" ht="28" customHeight="1">
      <x:c r="A46" s="64" t="str">
        <x:v>https://www.sec.gov/Archives/edgar/data/1551182/000155118226000030/etn-20260630.htm</x:v>
      </x:c>
      <x:c r="B46" s="14"/>
      <x:c r="C46" s="14"/>
      <x:c r="D46" s="14"/>
      <x:c r="E46" s="14"/>
      <x:c r="F46" s="14"/>
      <x:c r="G46" s="14"/>
      <x:c r="H46" s="14"/>
    </x:row>
    <x:row r="47" ht="42" customHeight="1">
      <x:c r="A47" s="9" t="str">
        <x:v>积压定义为客户明确承诺订单，但公司没有将数据中心/AI积压独立量化。</x:v>
      </x:c>
      <x:c r="B47" s="9"/>
      <x:c r="C47" s="9"/>
      <x:c r="D47" s="9"/>
      <x:c r="E47" s="9"/>
      <x:c r="F47" s="9"/>
      <x:c r="G47" s="9"/>
      <x:c r="H47" s="9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</x:row>
    <x:row r="49" ht="29" customHeight="1">
      <x:c r="A49" s="62" t="str">
        <x:v>P10  Q2 2026 earnings release — SEC Exhibit 99.1</x:v>
      </x:c>
      <x:c r="B49" s="7"/>
      <x:c r="C49" s="7"/>
      <x:c r="D49" s="7"/>
      <x:c r="E49" s="7"/>
      <x:c r="F49" s="7"/>
      <x:c r="G49" s="7"/>
      <x:c r="H49" s="7"/>
    </x:row>
    <x:row r="50" ht="28" customHeight="1">
      <x:c r="A50" s="9" t="str">
        <x:v>2026-07-29；公司原始披露 / 一级来源；位置：2026Q2 / FY2026 guidance</x:v>
      </x:c>
      <x:c r="B50" s="9"/>
      <x:c r="C50" s="9"/>
      <x:c r="D50" s="9"/>
      <x:c r="E50" s="9"/>
      <x:c r="F50" s="9"/>
      <x:c r="G50" s="9"/>
      <x:c r="H50" s="9"/>
    </x:row>
    <x:row r="51" ht="28" customHeight="1">
      <x:c r="A51" s="64" t="str">
        <x:v>https://www.sec.gov/Archives/edgar/data/1674101/000162828026050323/q22026exhibit991vrt07292026.htm</x:v>
      </x:c>
      <x:c r="B51" s="14"/>
      <x:c r="C51" s="14"/>
      <x:c r="D51" s="14"/>
      <x:c r="E51" s="14"/>
      <x:c r="F51" s="14"/>
      <x:c r="G51" s="14"/>
      <x:c r="H51" s="14"/>
    </x:row>
    <x:row r="52" ht="42" customHeight="1">
      <x:c r="A52" s="9" t="str">
        <x:v>液冷收入/利润未独立披露；不得将整体增长和利润率全部归因液冷。</x:v>
      </x:c>
      <x:c r="B52" s="9"/>
      <x:c r="C52" s="9"/>
      <x:c r="D52" s="9"/>
      <x:c r="E52" s="9"/>
      <x:c r="F52" s="9"/>
      <x:c r="G52" s="9"/>
      <x:c r="H52" s="9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9" customHeight="1">
      <x:c r="A54" s="62" t="str">
        <x:v>P11  Q2 2026 Form 10-Q</x:v>
      </x:c>
      <x:c r="B54" s="7"/>
      <x:c r="C54" s="7"/>
      <x:c r="D54" s="7"/>
      <x:c r="E54" s="7"/>
      <x:c r="F54" s="7"/>
      <x:c r="G54" s="7"/>
      <x:c r="H54" s="7"/>
    </x:row>
    <x:row r="55" ht="28" customHeight="1">
      <x:c r="A55" s="9" t="str">
        <x:v>2026-07-29；公司原始披露 / 一级来源；位置：2026Q2 / H1 ended 2026-06-30</x:v>
      </x:c>
      <x:c r="B55" s="9"/>
      <x:c r="C55" s="9"/>
      <x:c r="D55" s="9"/>
      <x:c r="E55" s="9"/>
      <x:c r="F55" s="9"/>
      <x:c r="G55" s="9"/>
      <x:c r="H55" s="9"/>
    </x:row>
    <x:row r="56" ht="28" customHeight="1">
      <x:c r="A56" s="64" t="str">
        <x:v>https://www.sec.gov/Archives/edgar/data/1674101/000162828026050609/vrt-20260630.htm</x:v>
      </x:c>
      <x:c r="B56" s="14"/>
      <x:c r="C56" s="14"/>
      <x:c r="D56" s="14"/>
      <x:c r="E56" s="14"/>
      <x:c r="F56" s="14"/>
      <x:c r="G56" s="14"/>
      <x:c r="H56" s="14"/>
    </x:row>
    <x:row r="57" ht="42" customHeight="1">
      <x:c r="A57" s="9" t="str">
        <x:v>存在营运资本及预收收入现金流贡献；6月底净现金并非研究日并购完成后的现金状况。</x:v>
      </x:c>
      <x:c r="B57" s="9"/>
      <x:c r="C57" s="9"/>
      <x:c r="D57" s="9"/>
      <x:c r="E57" s="9"/>
      <x:c r="F57" s="9"/>
      <x:c r="G57" s="9"/>
      <x:c r="H57" s="9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</x:row>
    <x:row r="59" ht="29" customHeight="1">
      <x:c r="A59" s="62" t="str">
        <x:v>P12  Utility Innovation Holdings acquisition — Form 8-K</x:v>
      </x:c>
      <x:c r="B59" s="7"/>
      <x:c r="C59" s="7"/>
      <x:c r="D59" s="7"/>
      <x:c r="E59" s="7"/>
      <x:c r="F59" s="7"/>
      <x:c r="G59" s="7"/>
      <x:c r="H59" s="7"/>
    </x:row>
    <x:row r="60" ht="28" customHeight="1">
      <x:c r="A60" s="9" t="str">
        <x:v>2026-09-02；公司原始披露 / 一级来源；位置：Agreement dated 2026-09-01; expected close Q4 2026</x:v>
      </x:c>
      <x:c r="B60" s="9"/>
      <x:c r="C60" s="9"/>
      <x:c r="D60" s="9"/>
      <x:c r="E60" s="9"/>
      <x:c r="F60" s="9"/>
      <x:c r="G60" s="9"/>
      <x:c r="H60" s="9"/>
    </x:row>
    <x:row r="61" ht="28" customHeight="1">
      <x:c r="A61" s="64" t="str">
        <x:v>https://www.sec.gov/Archives/edgar/data/1674101/000119312526379306/d472406d8k.htm</x:v>
      </x:c>
      <x:c r="B61" s="14"/>
      <x:c r="C61" s="14"/>
      <x:c r="D61" s="14"/>
      <x:c r="E61" s="14"/>
      <x:c r="F61" s="14"/>
      <x:c r="G61" s="14"/>
      <x:c r="H61" s="14"/>
    </x:row>
    <x:row r="62" ht="42" customHeight="1">
      <x:c r="A62" s="9" t="str">
        <x:v>尚未交割；最高earnout取决于EBITDA目标，不能全部视为已付，也不能全忽略。</x:v>
      </x:c>
      <x:c r="B62" s="9"/>
      <x:c r="C62" s="9"/>
      <x:c r="D62" s="9"/>
      <x:c r="E62" s="9"/>
      <x:c r="F62" s="9"/>
      <x:c r="G62" s="9"/>
      <x:c r="H62" s="9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9" customHeight="1">
      <x:c r="A64" s="62" t="str">
        <x:v>P13  Half Year 2026 Results</x:v>
      </x:c>
      <x:c r="B64" s="7"/>
      <x:c r="C64" s="7"/>
      <x:c r="D64" s="7"/>
      <x:c r="E64" s="7"/>
      <x:c r="F64" s="7"/>
      <x:c r="G64" s="7"/>
      <x:c r="H64" s="7"/>
    </x:row>
    <x:row r="65" ht="28" customHeight="1">
      <x:c r="A65" s="9" t="str">
        <x:v>2026-07-30；公司原始披露 / 一级来源；位置：2026H1 / Q2 / FY2026 targets</x:v>
      </x:c>
      <x:c r="B65" s="9"/>
      <x:c r="C65" s="9"/>
      <x:c r="D65" s="9"/>
      <x:c r="E65" s="9"/>
      <x:c r="F65" s="9"/>
      <x:c r="G65" s="9"/>
      <x:c r="H65" s="9"/>
    </x:row>
    <x:row r="66" ht="28" customHeight="1">
      <x:c r="A66" s="64" t="str">
        <x:v>https://www.se.com/ww/en/assets/pdf/release-hy-results-2026</x:v>
      </x:c>
      <x:c r="B66" s="14"/>
      <x:c r="C66" s="14"/>
      <x:c r="D66" s="14"/>
      <x:c r="E66" s="14"/>
      <x:c r="F66" s="14"/>
      <x:c r="G66" s="14"/>
      <x:c r="H66" s="14"/>
    </x:row>
    <x:row r="67" ht="42" customHeight="1">
      <x:c r="A67" s="9" t="str">
        <x:v>运营现金流在公司该表中为营运资本变动前口径；FCF同比含去年罚款基数；无液冷独立收入/利润。</x:v>
      </x:c>
      <x:c r="B67" s="9"/>
      <x:c r="C67" s="9"/>
      <x:c r="D67" s="9"/>
      <x:c r="E67" s="9"/>
      <x:c r="F67" s="9"/>
      <x:c r="G67" s="9"/>
      <x:c r="H67" s="9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</x:row>
    <x:row r="69" ht="29" customHeight="1">
      <x:c r="A69" s="62" t="str">
        <x:v>P14  Q2 2026 Form 10-Q</x:v>
      </x:c>
      <x:c r="B69" s="7"/>
      <x:c r="C69" s="7"/>
      <x:c r="D69" s="7"/>
      <x:c r="E69" s="7"/>
      <x:c r="F69" s="7"/>
      <x:c r="G69" s="7"/>
      <x:c r="H69" s="7"/>
    </x:row>
    <x:row r="70" ht="28" customHeight="1">
      <x:c r="A70" s="9" t="str">
        <x:v>2026-07-22；公司原始监管披露 / 一级来源；位置：H1/Q2 ended 2026-06-30</x:v>
      </x:c>
      <x:c r="B70" s="9"/>
      <x:c r="C70" s="9"/>
      <x:c r="D70" s="9"/>
      <x:c r="E70" s="9"/>
      <x:c r="F70" s="9"/>
      <x:c r="G70" s="9"/>
      <x:c r="H70" s="9"/>
    </x:row>
    <x:row r="71" ht="28" customHeight="1">
      <x:c r="A71" s="64" t="str">
        <x:v>https://www.gevernova.com/sites/default/files/gev_webcast_10q_07222026.pdf</x:v>
      </x:c>
      <x:c r="B71" s="14"/>
      <x:c r="C71" s="14"/>
      <x:c r="D71" s="14"/>
      <x:c r="E71" s="14"/>
      <x:c r="F71" s="14"/>
      <x:c r="G71" s="14"/>
      <x:c r="H71" s="14"/>
    </x:row>
    <x:row r="72" ht="42" customHeight="1">
      <x:c r="A72" s="9" t="str">
        <x:v>净利润含Prolec重新估值收益3992m；现金表头含restricted cash。</x:v>
      </x:c>
      <x:c r="B72" s="9"/>
      <x:c r="C72" s="9"/>
      <x:c r="D72" s="9"/>
      <x:c r="E72" s="9"/>
      <x:c r="F72" s="9"/>
      <x:c r="G72" s="9"/>
      <x:c r="H72" s="9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</x:row>
    <x:row r="74" ht="29" customHeight="1">
      <x:c r="A74" s="62" t="str">
        <x:v>SEMI01  Q3 FY2026 Prepared Remarks</x:v>
      </x:c>
      <x:c r="B74" s="7"/>
      <x:c r="C74" s="7"/>
      <x:c r="D74" s="7"/>
      <x:c r="E74" s="7"/>
      <x:c r="F74" s="7"/>
      <x:c r="G74" s="7"/>
      <x:c r="H74" s="7"/>
    </x:row>
    <x:row r="75" ht="28" customHeight="1">
      <x:c r="A75" s="9" t="str">
        <x:v>2026-06-24；公司一级披露；位置：pp1–3</x:v>
      </x:c>
      <x:c r="B75" s="9"/>
      <x:c r="C75" s="9"/>
      <x:c r="D75" s="9"/>
      <x:c r="E75" s="9"/>
      <x:c r="F75" s="9"/>
      <x:c r="G75" s="9"/>
      <x:c r="H75" s="9"/>
    </x:row>
    <x:row r="76" ht="28" customHeight="1">
      <x:c r="A76" s="64" t="str">
        <x:v>https://s25.q4cdn.com/621799436/files/doc_financials/2026/q3/Q3-FY26-Prepared-Remarks.pdf</x:v>
      </x:c>
      <x:c r="B76" s="14"/>
      <x:c r="C76" s="14"/>
      <x:c r="D76" s="14"/>
      <x:c r="E76" s="14"/>
      <x:c r="F76" s="14"/>
      <x:c r="G76" s="14"/>
      <x:c r="H76" s="14"/>
    </x:row>
    <x:row r="77" ht="42" customHeight="1">
      <x:c r="A77" s="9" t="str">
        <x:v>最低合同额跨至 2030 年；22bn 含存款和相关承诺，预计现金存款约 18bn；可退款，收款时列融资现金流。地板价格未公开。</x:v>
      </x:c>
      <x:c r="B77" s="9"/>
      <x:c r="C77" s="9"/>
      <x:c r="D77" s="9"/>
      <x:c r="E77" s="9"/>
      <x:c r="F77" s="9"/>
      <x:c r="G77" s="9"/>
      <x:c r="H77" s="9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</x:row>
    <x:row r="79" ht="29" customHeight="1">
      <x:c r="A79" s="62" t="str">
        <x:v>SEMI02  Q3 FY2026 Prepared Remarks</x:v>
      </x:c>
      <x:c r="B79" s="7"/>
      <x:c r="C79" s="7"/>
      <x:c r="D79" s="7"/>
      <x:c r="E79" s="7"/>
      <x:c r="F79" s="7"/>
      <x:c r="G79" s="7"/>
      <x:c r="H79" s="7"/>
    </x:row>
    <x:row r="80" ht="28" customHeight="1">
      <x:c r="A80" s="9" t="str">
        <x:v>2026-06-24；公司一级披露；位置：pp2,4–6,10</x:v>
      </x:c>
      <x:c r="B80" s="9"/>
      <x:c r="C80" s="9"/>
      <x:c r="D80" s="9"/>
      <x:c r="E80" s="9"/>
      <x:c r="F80" s="9"/>
      <x:c r="G80" s="9"/>
      <x:c r="H80" s="9"/>
    </x:row>
    <x:row r="81" ht="28" customHeight="1">
      <x:c r="A81" s="64" t="str">
        <x:v>https://s25.q4cdn.com/621799436/files/doc_financials/2026/q3/Q3-FY26-Prepared-Remarks.pdf</x:v>
      </x:c>
      <x:c r="B81" s="14"/>
      <x:c r="C81" s="14"/>
      <x:c r="D81" s="14"/>
      <x:c r="E81" s="14"/>
      <x:c r="F81" s="14"/>
      <x:c r="G81" s="14"/>
      <x:c r="H81" s="14"/>
    </x:row>
    <x:row r="82" ht="42" customHeight="1">
      <x:c r="A82" s="9" t="str">
        <x:v>2027紧张是供应商预测；对价格上限约束、成本上升和新增产能需做正常化估值。</x:v>
      </x:c>
      <x:c r="B82" s="9"/>
      <x:c r="C82" s="9"/>
      <x:c r="D82" s="9"/>
      <x:c r="E82" s="9"/>
      <x:c r="F82" s="9"/>
      <x:c r="G82" s="9"/>
      <x:c r="H82" s="9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</x:row>
    <x:row r="84" ht="29" customHeight="1">
      <x:c r="A84" s="62" t="str">
        <x:v>SEMI03  FY2026Q3 Release</x:v>
      </x:c>
      <x:c r="B84" s="7"/>
      <x:c r="C84" s="7"/>
      <x:c r="D84" s="7"/>
      <x:c r="E84" s="7"/>
      <x:c r="F84" s="7"/>
      <x:c r="G84" s="7"/>
      <x:c r="H84" s="7"/>
    </x:row>
    <x:row r="85" ht="28" customHeight="1">
      <x:c r="A85" s="9" t="str">
        <x:v>2026-06-24；公司一级披露；位置：财务报表与 FCF 对账</x:v>
      </x:c>
      <x:c r="B85" s="9"/>
      <x:c r="C85" s="9"/>
      <x:c r="D85" s="9"/>
      <x:c r="E85" s="9"/>
      <x:c r="F85" s="9"/>
      <x:c r="G85" s="9"/>
      <x:c r="H85" s="9"/>
    </x:row>
    <x:row r="86" ht="28" customHeight="1">
      <x:c r="A86" s="64" t="str">
        <x:v>https://investors.micron.com/news/press-release/2026/Micron-Technology-Inc--Reports-Record-Results-for-the-Third-Quarter-of-Fiscal-2026/default.aspx</x:v>
      </x:c>
      <x:c r="B86" s="14"/>
      <x:c r="C86" s="14"/>
      <x:c r="D86" s="14"/>
      <x:c r="E86" s="14"/>
      <x:c r="F86" s="14"/>
      <x:c r="G86" s="14"/>
      <x:c r="H86" s="14"/>
    </x:row>
    <x:row r="87" ht="42" customHeight="1">
      <x:c r="A87" s="9" t="str">
        <x:v>季度毛利84.6%异常高，不作为永续正常率；披露FCF包含补助净额，与普通FCF不同。</x:v>
      </x:c>
      <x:c r="B87" s="9"/>
      <x:c r="C87" s="9"/>
      <x:c r="D87" s="9"/>
      <x:c r="E87" s="9"/>
      <x:c r="F87" s="9"/>
      <x:c r="G87" s="9"/>
      <x:c r="H87" s="9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</x:row>
    <x:row r="89" ht="29" customHeight="1">
      <x:c r="A89" s="62" t="str">
        <x:v>SEMI04  FY2026Q2 Earnings Release</x:v>
      </x:c>
      <x:c r="B89" s="7"/>
      <x:c r="C89" s="7"/>
      <x:c r="D89" s="7"/>
      <x:c r="E89" s="7"/>
      <x:c r="F89" s="7"/>
      <x:c r="G89" s="7"/>
      <x:c r="H89" s="7"/>
    </x:row>
    <x:row r="90" ht="28" customHeight="1">
      <x:c r="A90" s="9" t="str">
        <x:v>2026-07-29；公司一级披露；位置：Main press release</x:v>
      </x:c>
      <x:c r="B90" s="9"/>
      <x:c r="C90" s="9"/>
      <x:c r="D90" s="9"/>
      <x:c r="E90" s="9"/>
      <x:c r="F90" s="9"/>
      <x:c r="G90" s="9"/>
      <x:c r="H90" s="9"/>
    </x:row>
    <x:row r="91" ht="28" customHeight="1">
      <x:c r="A91" s="64" t="str">
        <x:v>https://news.skhynix.com/en/q2-2026-business-results/</x:v>
      </x:c>
      <x:c r="B91" s="14"/>
      <x:c r="C91" s="14"/>
      <x:c r="D91" s="14"/>
      <x:c r="E91" s="14"/>
      <x:c r="F91" s="14"/>
      <x:c r="G91" s="14"/>
      <x:c r="H91" s="14"/>
    </x:row>
    <x:row r="92" ht="42" customHeight="1">
      <x:c r="A92" s="9" t="str">
        <x:v>公司声称技术领先，未提供独立验证份额或HBM单独毛利，不能沿用旧HBM市占率。</x:v>
      </x:c>
      <x:c r="B92" s="9"/>
      <x:c r="C92" s="9"/>
      <x:c r="D92" s="9"/>
      <x:c r="E92" s="9"/>
      <x:c r="F92" s="9"/>
      <x:c r="G92" s="9"/>
      <x:c r="H92" s="9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</x:row>
    <x:row r="94" ht="29" customHeight="1">
      <x:c r="A94" s="62" t="str">
        <x:v>SEMI05  FY2026Q2 Earnings Presentation</x:v>
      </x:c>
      <x:c r="B94" s="7"/>
      <x:c r="C94" s="7"/>
      <x:c r="D94" s="7"/>
      <x:c r="E94" s="7"/>
      <x:c r="F94" s="7"/>
      <x:c r="G94" s="7"/>
      <x:c r="H94" s="7"/>
    </x:row>
    <x:row r="95" ht="28" customHeight="1">
      <x:c r="A95" s="9" t="str">
        <x:v>2026-07-29；公司一级披露；位置：pp6,12,14,15</x:v>
      </x:c>
      <x:c r="B95" s="9"/>
      <x:c r="C95" s="9"/>
      <x:c r="D95" s="9"/>
      <x:c r="E95" s="9"/>
      <x:c r="F95" s="9"/>
      <x:c r="G95" s="9"/>
      <x:c r="H95" s="9"/>
    </x:row>
    <x:row r="96" ht="28" customHeight="1">
      <x:c r="A96" s="64" t="str">
        <x:v>https://mis-prod-koce-homepage-cdn-01-blob-ep.azureedge.net/web/attach/13571040283022005.pdf</x:v>
      </x:c>
      <x:c r="B96" s="14"/>
      <x:c r="C96" s="14"/>
      <x:c r="D96" s="14"/>
      <x:c r="E96" s="14"/>
      <x:c r="F96" s="14"/>
      <x:c r="G96" s="14"/>
      <x:c r="H96" s="14"/>
    </x:row>
    <x:row r="97" ht="42" customHeight="1">
      <x:c r="A97" s="9" t="str">
        <x:v>数字四舍五入；p14 Q1 EPS21522与同表Q1净利40346bn/股数712m不一致，Q1EPS排除；新闻PDF声明尚未完成审阅。</x:v>
      </x:c>
      <x:c r="B97" s="9"/>
      <x:c r="C97" s="9"/>
      <x:c r="D97" s="9"/>
      <x:c r="E97" s="9"/>
      <x:c r="F97" s="9"/>
      <x:c r="G97" s="9"/>
      <x:c r="H97" s="9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</x:row>
    <x:row r="99" ht="29" customHeight="1">
      <x:c r="A99" s="62" t="str">
        <x:v>SEMI06  Share buyback and retirement</x:v>
      </x:c>
      <x:c r="B99" s="7"/>
      <x:c r="C99" s="7"/>
      <x:c r="D99" s="7"/>
      <x:c r="E99" s="7"/>
      <x:c r="F99" s="7"/>
      <x:c r="G99" s="7"/>
      <x:c r="H99" s="7"/>
    </x:row>
    <x:row r="100" ht="28" customHeight="1">
      <x:c r="A100" s="9" t="str">
        <x:v>2026-08-19；公司一级披露；位置：Board resolution announcement</x:v>
      </x:c>
      <x:c r="B100" s="9"/>
      <x:c r="C100" s="9"/>
      <x:c r="D100" s="9"/>
      <x:c r="E100" s="9"/>
      <x:c r="F100" s="9"/>
      <x:c r="G100" s="9"/>
      <x:c r="H100" s="9"/>
    </x:row>
    <x:row r="101" ht="28" customHeight="1">
      <x:c r="A101" s="64" t="str">
        <x:v>https://news.skhynix.com/en/share-buyback-and-retirement/</x:v>
      </x:c>
      <x:c r="B101" s="14"/>
      <x:c r="C101" s="14"/>
      <x:c r="D101" s="14"/>
      <x:c r="E101" s="14"/>
      <x:c r="F101" s="14"/>
      <x:c r="G101" s="14"/>
      <x:c r="H101" s="14"/>
    </x:row>
    <x:row r="102" ht="42" customHeight="1">
      <x:c r="A102" s="9" t="str">
        <x:v>截至9月5日尚未完成全部回购；不等于已注销；公司认为低估是观点，非独立估值。</x:v>
      </x:c>
      <x:c r="B102" s="9"/>
      <x:c r="C102" s="9"/>
      <x:c r="D102" s="9"/>
      <x:c r="E102" s="9"/>
      <x:c r="F102" s="9"/>
      <x:c r="G102" s="9"/>
      <x:c r="H102" s="9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29" customHeight="1">
      <x:c r="A104" s="62" t="str">
        <x:v>SEMI07  Indiana HBM facility groundbreaking</x:v>
      </x:c>
      <x:c r="B104" s="7"/>
      <x:c r="C104" s="7"/>
      <x:c r="D104" s="7"/>
      <x:c r="E104" s="7"/>
      <x:c r="F104" s="7"/>
      <x:c r="G104" s="7"/>
      <x:c r="H104" s="7"/>
    </x:row>
    <x:row r="105" ht="28" customHeight="1">
      <x:c r="A105" s="9" t="str">
        <x:v>2026-08-28；公司一级披露；位置：Investment schedule</x:v>
      </x:c>
      <x:c r="B105" s="9"/>
      <x:c r="C105" s="9"/>
      <x:c r="D105" s="9"/>
      <x:c r="E105" s="9"/>
      <x:c r="F105" s="9"/>
      <x:c r="G105" s="9"/>
      <x:c r="H105" s="9"/>
    </x:row>
    <x:row r="106" ht="28" customHeight="1">
      <x:c r="A106" s="64" t="str">
        <x:v>https://news.skhynix.com/en/groundbreaking-ceremony-in-indiana/</x:v>
      </x:c>
      <x:c r="B106" s="14"/>
      <x:c r="C106" s="14"/>
      <x:c r="D106" s="14"/>
      <x:c r="E106" s="14"/>
      <x:c r="F106" s="14"/>
      <x:c r="G106" s="14"/>
      <x:c r="H106" s="14"/>
    </x:row>
    <x:row r="107" ht="42" customHeight="1">
      <x:c r="A107" s="9" t="str">
        <x:v>韩国M15X/龙仁及其他公司扩产仍会在窗口内新增供给；美国项目只是局部。</x:v>
      </x:c>
      <x:c r="B107" s="9"/>
      <x:c r="C107" s="9"/>
      <x:c r="D107" s="9"/>
      <x:c r="E107" s="9"/>
      <x:c r="F107" s="9"/>
      <x:c r="G107" s="9"/>
      <x:c r="H107" s="9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29" customHeight="1">
      <x:c r="A109" s="62" t="str">
        <x:v>SEMI08  Q2 2026 earnings call, management quotations hosted by Yahoo/Quartr</x:v>
      </x:c>
      <x:c r="B109" s="7"/>
      <x:c r="C109" s="7"/>
      <x:c r="D109" s="7"/>
      <x:c r="E109" s="7"/>
      <x:c r="F109" s="7"/>
      <x:c r="G109" s="7"/>
      <x:c r="H109" s="7"/>
    </x:row>
    <x:row r="110" ht="28" customHeight="1">
      <x:c r="A110" s="9" t="str">
        <x:v>2026-07-16；管理层发言的二级逐字稿转载；位置：timestamps00:07:55,00:33:54,00:43:29,00:57:17</x:v>
      </x:c>
      <x:c r="B110" s="9"/>
      <x:c r="C110" s="9"/>
      <x:c r="D110" s="9"/>
      <x:c r="E110" s="9"/>
      <x:c r="F110" s="9"/>
      <x:c r="G110" s="9"/>
      <x:c r="H110" s="9"/>
    </x:row>
    <x:row r="111" ht="28" customHeight="1">
      <x:c r="A111" s="64" t="str">
        <x:v>https://finance.yahoo.com/quote/TSM/earnings/TSM-Q2-2026-earnings_call-649922.html</x:v>
      </x:c>
      <x:c r="B111" s="14"/>
      <x:c r="C111" s="14"/>
      <x:c r="D111" s="14"/>
      <x:c r="E111" s="14"/>
      <x:c r="F111" s="14"/>
      <x:c r="G111" s="14"/>
      <x:c r="H111" s="14"/>
    </x:row>
    <x:row r="112" ht="42" customHeight="1">
      <x:c r="A112" s="9" t="str">
        <x:v>管理层原话二级转载，官方逐字稿链接已验证但无法保存正文；未采用外部未核实月产能数字。</x:v>
      </x:c>
      <x:c r="B112" s="9"/>
      <x:c r="C112" s="9"/>
      <x:c r="D112" s="9"/>
      <x:c r="E112" s="9"/>
      <x:c r="F112" s="9"/>
      <x:c r="G112" s="9"/>
      <x:c r="H112" s="9"/>
    </x:row>
    <x:row r="113" ht="23" customHeight="1">
      <x:c r="A113" s="2"/>
      <x:c r="B113" s="2"/>
      <x:c r="C113" s="2"/>
      <x:c r="D113" s="2"/>
      <x:c r="E113" s="2"/>
      <x:c r="F113" s="2"/>
      <x:c r="G113" s="2"/>
      <x:c r="H113" s="2"/>
    </x:row>
    <x:row r="114" ht="29" customHeight="1">
      <x:c r="A114" s="62" t="str">
        <x:v>SEMI09  Q2 2026 Consolidated Financial Report</x:v>
      </x:c>
      <x:c r="B114" s="7"/>
      <x:c r="C114" s="7"/>
      <x:c r="D114" s="7"/>
      <x:c r="E114" s="7"/>
      <x:c r="F114" s="7"/>
      <x:c r="G114" s="7"/>
      <x:c r="H114" s="7"/>
    </x:row>
    <x:row r="115" ht="28" customHeight="1">
      <x:c r="A115" s="9" t="str">
        <x:v>2026-08-14；公司一级披露；位置：合并损益表、现金流量表；Note13；Note25</x:v>
      </x:c>
      <x:c r="B115" s="9"/>
      <x:c r="C115" s="9"/>
      <x:c r="D115" s="9"/>
      <x:c r="E115" s="9"/>
      <x:c r="F115" s="9"/>
      <x:c r="G115" s="9"/>
      <x:c r="H115" s="9"/>
    </x:row>
    <x:row r="116" ht="28" customHeight="1">
      <x:c r="A116" s="64" t="str">
        <x:v>https://www.sec.gov/Archives/edgar/data/1046179/000104617926000541/a2026q2consolidatedreport-.htm</x:v>
      </x:c>
      <x:c r="B116" s="14"/>
      <x:c r="C116" s="14"/>
      <x:c r="D116" s="14"/>
      <x:c r="E116" s="14"/>
      <x:c r="F116" s="14"/>
      <x:c r="G116" s="14"/>
      <x:c r="H116" s="14"/>
    </x:row>
    <x:row r="117" ht="42" customHeight="1">
      <x:c r="A117" s="9" t="str">
        <x:v>原披露单位为千新台币；底稿换算为百万新台币。ADS＝5 普通股；Q2 的 VIS 处置及重估收益在估值中剔除。</x:v>
      </x:c>
      <x:c r="B117" s="9"/>
      <x:c r="C117" s="9"/>
      <x:c r="D117" s="9"/>
      <x:c r="E117" s="9"/>
      <x:c r="F117" s="9"/>
      <x:c r="G117" s="9"/>
      <x:c r="H117" s="9"/>
    </x:row>
    <x:row r="118" ht="23" customHeight="1">
      <x:c r="A118" s="2"/>
      <x:c r="B118" s="2"/>
      <x:c r="C118" s="2"/>
      <x:c r="D118" s="2"/>
      <x:c r="E118" s="2"/>
      <x:c r="F118" s="2"/>
      <x:c r="G118" s="2"/>
      <x:c r="H118" s="2"/>
    </x:row>
    <x:row r="119" ht="29" customHeight="1">
      <x:c r="A119" s="62" t="str">
        <x:v>SEMI10  Q2 FY2027 Earnings Release</x:v>
      </x:c>
      <x:c r="B119" s="7"/>
      <x:c r="C119" s="7"/>
      <x:c r="D119" s="7"/>
      <x:c r="E119" s="7"/>
      <x:c r="F119" s="7"/>
      <x:c r="G119" s="7"/>
      <x:c r="H119" s="7"/>
    </x:row>
    <x:row r="120" ht="28" customHeight="1">
      <x:c r="A120" s="9" t="str">
        <x:v>2026-08-26；公司一级披露；位置：Income statement/cash flow statement</x:v>
      </x:c>
      <x:c r="B120" s="9"/>
      <x:c r="C120" s="9"/>
      <x:c r="D120" s="9"/>
      <x:c r="E120" s="9"/>
      <x:c r="F120" s="9"/>
      <x:c r="G120" s="9"/>
      <x:c r="H120" s="9"/>
    </x:row>
    <x:row r="121" ht="28" customHeight="1">
      <x:c r="A121" s="64" t="str">
        <x:v>https://nvidianews.nvidia.com/news/nvidia-announces-financial-results-for-second-quarter-fiscal-2027</x:v>
      </x:c>
      <x:c r="B121" s="14"/>
      <x:c r="C121" s="14"/>
      <x:c r="D121" s="14"/>
      <x:c r="E121" s="14"/>
      <x:c r="F121" s="14"/>
      <x:c r="G121" s="14"/>
      <x:c r="H121" s="14"/>
    </x:row>
    <x:row r="122" ht="42" customHeight="1">
      <x:c r="A122" s="9" t="str">
        <x:v>Q3为指引；中国出口限制及ASIC竞争风险；证券收益与供应融资需单列，不能直接以净利年化。</x:v>
      </x:c>
      <x:c r="B122" s="9"/>
      <x:c r="C122" s="9"/>
      <x:c r="D122" s="9"/>
      <x:c r="E122" s="9"/>
      <x:c r="F122" s="9"/>
      <x:c r="G122" s="9"/>
      <x:c r="H122" s="9"/>
    </x:row>
    <x:row r="123" ht="23" customHeight="1">
      <x:c r="A123" s="2"/>
      <x:c r="B123" s="2"/>
      <x:c r="C123" s="2"/>
      <x:c r="D123" s="2"/>
      <x:c r="E123" s="2"/>
      <x:c r="F123" s="2"/>
      <x:c r="G123" s="2"/>
      <x:c r="H123" s="2"/>
    </x:row>
    <x:row r="124" ht="29" customHeight="1">
      <x:c r="A124" s="62" t="str">
        <x:v>SEMI11  Second Quarter 2026 Results</x:v>
      </x:c>
      <x:c r="B124" s="7"/>
      <x:c r="C124" s="7"/>
      <x:c r="D124" s="7"/>
      <x:c r="E124" s="7"/>
      <x:c r="F124" s="7"/>
      <x:c r="G124" s="7"/>
      <x:c r="H124" s="7"/>
    </x:row>
    <x:row r="125" ht="28" customHeight="1">
      <x:c r="A125" s="9" t="str">
        <x:v>2026-07-30；公司一级披露；位置：DS division and outlook</x:v>
      </x:c>
      <x:c r="B125" s="9"/>
      <x:c r="C125" s="9"/>
      <x:c r="D125" s="9"/>
      <x:c r="E125" s="9"/>
      <x:c r="F125" s="9"/>
      <x:c r="G125" s="9"/>
      <x:c r="H125" s="9"/>
    </x:row>
    <x:row r="126" ht="28" customHeight="1">
      <x:c r="A126" s="64" t="str">
        <x:v>https://news.samsung.com/global/samsung-electronics-announces-second-quarter-2026-results</x:v>
      </x:c>
      <x:c r="B126" s="14"/>
      <x:c r="C126" s="14"/>
      <x:c r="D126" s="14"/>
      <x:c r="E126" s="14"/>
      <x:c r="F126" s="14"/>
      <x:c r="G126" s="14"/>
      <x:c r="H126" s="14"/>
    </x:row>
    <x:row r="127" ht="42" customHeight="1">
      <x:c r="A127" s="9" t="str">
        <x:v>公司自称技术领先；未提供HBM单独毛利或份额；DS包括其他业务。</x:v>
      </x:c>
      <x:c r="B127" s="9"/>
      <x:c r="C127" s="9"/>
      <x:c r="D127" s="9"/>
      <x:c r="E127" s="9"/>
      <x:c r="F127" s="9"/>
      <x:c r="G127" s="9"/>
      <x:c r="H127" s="9"/>
    </x:row>
    <x:row r="128" ht="23" customHeight="1">
      <x:c r="A128" s="2"/>
      <x:c r="B128" s="2"/>
      <x:c r="C128" s="2"/>
      <x:c r="D128" s="2"/>
      <x:c r="E128" s="2"/>
      <x:c r="F128" s="2"/>
      <x:c r="G128" s="2"/>
      <x:c r="H128" s="2"/>
    </x:row>
    <x:row r="129" ht="29" customHeight="1">
      <x:c r="A129" s="62" t="str">
        <x:v>SEMI12  Q3 FY2026 Financial Results and Dividend</x:v>
      </x:c>
      <x:c r="B129" s="7"/>
      <x:c r="C129" s="7"/>
      <x:c r="D129" s="7"/>
      <x:c r="E129" s="7"/>
      <x:c r="F129" s="7"/>
      <x:c r="G129" s="7"/>
      <x:c r="H129" s="7"/>
    </x:row>
    <x:row r="130" ht="28" customHeight="1">
      <x:c r="A130" s="9" t="str">
        <x:v>2026-09-02；公司通过PRNewswire发布的一级新闻稿；位置：Financial statements and CEO quote</x:v>
      </x:c>
      <x:c r="B130" s="9"/>
      <x:c r="C130" s="9"/>
      <x:c r="D130" s="9"/>
      <x:c r="E130" s="9"/>
      <x:c r="F130" s="9"/>
      <x:c r="G130" s="9"/>
      <x:c r="H130" s="9"/>
    </x:row>
    <x:row r="131" ht="28" customHeight="1">
      <x:c r="A131" s="64" t="str">
        <x:v>https://www.prnewswire.com/news-releases/broadcom-inc-announces-third-quarter-fiscal-year-2026-financial-results-and-quarterly-dividend-302868129.html</x:v>
      </x:c>
      <x:c r="B131" s="14"/>
      <x:c r="C131" s="14"/>
      <x:c r="D131" s="14"/>
      <x:c r="E131" s="14"/>
      <x:c r="F131" s="14"/>
      <x:c r="G131" s="14"/>
      <x:c r="H131" s="14"/>
    </x:row>
    <x:row r="132" ht="42" customHeight="1">
      <x:c r="A132" s="9" t="str">
        <x:v>半导体与软件利润混合；非GAAP剔除SBC，Q3SBC为2.019bnUSD；净债35.444bnUSD。</x:v>
      </x:c>
      <x:c r="B132" s="9"/>
      <x:c r="C132" s="9"/>
      <x:c r="D132" s="9"/>
      <x:c r="E132" s="9"/>
      <x:c r="F132" s="9"/>
      <x:c r="G132" s="9"/>
      <x:c r="H132" s="9"/>
    </x:row>
    <x:row r="133" ht="23" customHeight="1">
      <x:c r="A133" s="2"/>
      <x:c r="B133" s="2"/>
      <x:c r="C133" s="2"/>
      <x:c r="D133" s="2"/>
      <x:c r="E133" s="2"/>
      <x:c r="F133" s="2"/>
      <x:c r="G133" s="2"/>
      <x:c r="H133" s="2"/>
    </x:row>
    <x:row r="134" ht="29" customHeight="1">
      <x:c r="A134" s="62" t="str">
        <x:v>SEMI13  Q4 and Full FY2026 Results</x:v>
      </x:c>
      <x:c r="B134" s="7"/>
      <x:c r="C134" s="7"/>
      <x:c r="D134" s="7"/>
      <x:c r="E134" s="7"/>
      <x:c r="F134" s="7"/>
      <x:c r="G134" s="7"/>
      <x:c r="H134" s="7"/>
    </x:row>
    <x:row r="135" ht="28" customHeight="1">
      <x:c r="A135" s="9" t="str">
        <x:v>2026-08-11；公司一级披露；位置：pp1-2,5-8</x:v>
      </x:c>
      <x:c r="B135" s="9"/>
      <x:c r="C135" s="9"/>
      <x:c r="D135" s="9"/>
      <x:c r="E135" s="9"/>
      <x:c r="F135" s="9"/>
      <x:c r="G135" s="9"/>
      <x:c r="H135" s="9"/>
    </x:row>
    <x:row r="136" ht="28" customHeight="1">
      <x:c r="A136" s="64" t="str">
        <x:v>https://s21.q4cdn.com/377324469/files/doc_news/Lumentum-Announces-Fourth-Quarter-and-Full-Fiscal-Year-2026-Results-2026.pdf</x:v>
      </x:c>
      <x:c r="B136" s="14"/>
      <x:c r="C136" s="14"/>
      <x:c r="D136" s="14"/>
      <x:c r="E136" s="14"/>
      <x:c r="F136" s="14"/>
      <x:c r="G136" s="14"/>
      <x:c r="H136" s="14"/>
    </x:row>
    <x:row r="137" ht="42" customHeight="1">
      <x:c r="A137" s="9" t="str">
        <x:v>尚未取得独立市场份额和统一供应缺口统计；债务转股损失不代表经营亏损，亏损期GAAP EPS也不能直接年化。</x:v>
      </x:c>
      <x:c r="B137" s="9"/>
      <x:c r="C137" s="9"/>
      <x:c r="D137" s="9"/>
      <x:c r="E137" s="9"/>
      <x:c r="F137" s="9"/>
      <x:c r="G137" s="9"/>
      <x:c r="H137" s="9"/>
    </x:row>
    <x:row r="138" ht="23" customHeight="1">
      <x:c r="A138" s="2"/>
      <x:c r="B138" s="2"/>
      <x:c r="C138" s="2"/>
      <x:c r="D138" s="2"/>
      <x:c r="E138" s="2"/>
      <x:c r="F138" s="2"/>
      <x:c r="G138" s="2"/>
      <x:c r="H138" s="2"/>
    </x:row>
    <x:row r="139" ht="29" customHeight="1">
      <x:c r="A139" s="62" t="str">
        <x:v>M01  IEA Key Questions on Energy and AI</x:v>
      </x:c>
      <x:c r="B139" s="7"/>
      <x:c r="C139" s="7"/>
      <x:c r="D139" s="7"/>
      <x:c r="E139" s="7"/>
      <x:c r="F139" s="7"/>
      <x:c r="G139" s="7"/>
      <x:c r="H139" s="7"/>
    </x:row>
    <x:row r="140" ht="28" customHeight="1">
      <x:c r="A140" s="9" t="str">
        <x:v>2026-04-16；国际机构报告；含情景和二级引用；位置：pp9–11,21–23,26–27,63–65</x:v>
      </x:c>
      <x:c r="B140" s="9"/>
      <x:c r="C140" s="9"/>
      <x:c r="D140" s="9"/>
      <x:c r="E140" s="9"/>
      <x:c r="F140" s="9"/>
      <x:c r="G140" s="9"/>
      <x:c r="H140" s="9"/>
    </x:row>
    <x:row r="141" ht="28" customHeight="1">
      <x:c r="A141" s="64" t="str">
        <x:v>https://iea.blob.core.windows.net/assets/3179f7f8-01f6-4dd6-bffa-c9f7b73f1dc9/KeyQuestionsonEnergyandAI.pdf</x:v>
      </x:c>
      <x:c r="B141" s="14"/>
      <x:c r="C141" s="14"/>
      <x:c r="D141" s="14"/>
      <x:c r="E141" s="14"/>
      <x:c r="F141" s="14"/>
      <x:c r="G141" s="14"/>
      <x:c r="H141" s="14"/>
    </x:row>
    <x:row r="142" ht="42" customHeight="1">
      <x:c r="A142" s="9" t="str">
        <x:v>2030 为基准预测；并网申请量有重复和投机成分。</x:v>
      </x:c>
      <x:c r="B142" s="9"/>
      <x:c r="C142" s="9"/>
      <x:c r="D142" s="9"/>
      <x:c r="E142" s="9"/>
      <x:c r="F142" s="9"/>
      <x:c r="G142" s="9"/>
      <x:c r="H142" s="9"/>
    </x:row>
    <x:row r="143" ht="23" customHeight="1">
      <x:c r="A143" s="2"/>
      <x:c r="B143" s="2"/>
      <x:c r="C143" s="2"/>
      <x:c r="D143" s="2"/>
      <x:c r="E143" s="2"/>
      <x:c r="F143" s="2"/>
      <x:c r="G143" s="2"/>
      <x:c r="H143" s="2"/>
    </x:row>
    <x:row r="144" ht="29" customHeight="1">
      <x:c r="A144" s="62" t="str">
        <x:v>M02  Alphabet Q2 2026 earnings release</x:v>
      </x:c>
      <x:c r="B144" s="7"/>
      <x:c r="C144" s="7"/>
      <x:c r="D144" s="7"/>
      <x:c r="E144" s="7"/>
      <x:c r="F144" s="7"/>
      <x:c r="G144" s="7"/>
      <x:c r="H144" s="7"/>
    </x:row>
    <x:row r="145" ht="28" customHeight="1">
      <x:c r="A145" s="9" t="str">
        <x:v>2026-07-22；公司一级披露；位置：Income statement / cash flow / financing discussion</x:v>
      </x:c>
      <x:c r="B145" s="9"/>
      <x:c r="C145" s="9"/>
      <x:c r="D145" s="9"/>
      <x:c r="E145" s="9"/>
      <x:c r="F145" s="9"/>
      <x:c r="G145" s="9"/>
      <x:c r="H145" s="9"/>
    </x:row>
    <x:row r="146" ht="28" customHeight="1">
      <x:c r="A146" s="64" t="str">
        <x:v>https://s206.q4cdn.com/479360582/files/doc_financials/2026/q2/2026q2-alphabet-earnings-release.pdf</x:v>
      </x:c>
      <x:c r="B146" s="14"/>
      <x:c r="C146" s="14"/>
      <x:c r="D146" s="14"/>
      <x:c r="E146" s="14"/>
      <x:c r="F146" s="14"/>
      <x:c r="G146" s="14"/>
      <x:c r="H146" s="14"/>
    </x:row>
    <x:row r="147" ht="42" customHeight="1">
      <x:c r="A147" s="9" t="str">
        <x:v>Cloud 包括非 AI 业务；单家公司不能代表全行业。</x:v>
      </x:c>
      <x:c r="B147" s="9"/>
      <x:c r="C147" s="9"/>
      <x:c r="D147" s="9"/>
      <x:c r="E147" s="9"/>
      <x:c r="F147" s="9"/>
      <x:c r="G147" s="9"/>
      <x:c r="H147" s="9"/>
    </x:row>
    <x:row r="148" ht="23" customHeight="1">
      <x:c r="A148" s="2"/>
      <x:c r="B148" s="2"/>
      <x:c r="C148" s="2"/>
      <x:c r="D148" s="2"/>
      <x:c r="E148" s="2"/>
      <x:c r="F148" s="2"/>
      <x:c r="G148" s="2"/>
      <x:c r="H148" s="2"/>
    </x:row>
    <x:row r="149" ht="29" customHeight="1">
      <x:c r="A149" s="62" t="str">
        <x:v>F01  TSMC 2025 Form 20-F</x:v>
      </x:c>
      <x:c r="B149" s="7"/>
      <x:c r="C149" s="7"/>
      <x:c r="D149" s="7"/>
      <x:c r="E149" s="7"/>
      <x:c r="F149" s="7"/>
      <x:c r="G149" s="7"/>
      <x:c r="H149" s="7"/>
    </x:row>
    <x:row r="150" ht="28" customHeight="1">
      <x:c r="A150" s="9" t="str">
        <x:v>2026-04-16；监管一级披露；位置：F-8、F-11、Note32；ADS beneficial ownership note (2)</x:v>
      </x:c>
      <x:c r="B150" s="9"/>
      <x:c r="C150" s="9"/>
      <x:c r="D150" s="9"/>
      <x:c r="E150" s="9"/>
      <x:c r="F150" s="9"/>
      <x:c r="G150" s="9"/>
      <x:c r="H150" s="9"/>
    </x:row>
    <x:row r="151" ht="28" customHeight="1">
      <x:c r="A151" s="64" t="str">
        <x:v>https://www.sec.gov/Archives/edgar/data/1046179/000162828026025362/tsm-20251231.htm</x:v>
      </x:c>
      <x:c r="B151" s="14"/>
      <x:c r="C151" s="14"/>
      <x:c r="D151" s="14"/>
      <x:c r="E151" s="14"/>
      <x:c r="F151" s="14"/>
      <x:c r="G151" s="14"/>
      <x:c r="H151" s="14"/>
    </x:row>
    <x:row r="152" ht="42" customHeight="1">
      <x:c r="A152" s="9" t="str">
        <x:v>每 ADS 为 5 普通股；历史 EPS 含非经常损益。</x:v>
      </x:c>
      <x:c r="B152" s="9"/>
      <x:c r="C152" s="9"/>
      <x:c r="D152" s="9"/>
      <x:c r="E152" s="9"/>
      <x:c r="F152" s="9"/>
      <x:c r="G152" s="9"/>
      <x:c r="H152" s="9"/>
    </x:row>
    <x:row r="153" ht="23" customHeight="1">
      <x:c r="A153" s="2"/>
      <x:c r="B153" s="2"/>
      <x:c r="C153" s="2"/>
      <x:c r="D153" s="2"/>
      <x:c r="E153" s="2"/>
      <x:c r="F153" s="2"/>
      <x:c r="G153" s="2"/>
      <x:c r="H153" s="2"/>
    </x:row>
    <x:row r="154" ht="29" customHeight="1">
      <x:c r="A154" s="62" t="str">
        <x:v>F02  Micron SEC companyfacts</x:v>
      </x:c>
      <x:c r="B154" s="7"/>
      <x:c r="C154" s="7"/>
      <x:c r="D154" s="7"/>
      <x:c r="E154" s="7"/>
      <x:c r="F154" s="7"/>
      <x:c r="G154" s="7"/>
      <x:c r="H154" s="7"/>
    </x:row>
    <x:row r="155" ht="28" customHeight="1">
      <x:c r="A155" s="9" t="str">
        <x:v>2026-06-25；SEC XBRL；对应 FY26Q3 10-Q；位置：accn 0000723125-26-000015；YTD 2025-08-29 至 2026-05-28</x:v>
      </x:c>
      <x:c r="B155" s="9"/>
      <x:c r="C155" s="9"/>
      <x:c r="D155" s="9"/>
      <x:c r="E155" s="9"/>
      <x:c r="F155" s="9"/>
      <x:c r="G155" s="9"/>
      <x:c r="H155" s="9"/>
    </x:row>
    <x:row r="156" ht="28" customHeight="1">
      <x:c r="A156" s="64" t="str">
        <x:v>https://data.sec.gov/api/xbrl/companyfacts/CIK0000723125.json</x:v>
      </x:c>
      <x:c r="B156" s="14"/>
      <x:c r="C156" s="14"/>
      <x:c r="D156" s="14"/>
      <x:c r="E156" s="14"/>
      <x:c r="F156" s="14"/>
      <x:c r="G156" s="14"/>
      <x:c r="H156" s="14"/>
    </x:row>
    <x:row r="157" ht="42" customHeight="1">
      <x:c r="A157" s="9" t="str">
        <x:v>YTD 不是单季；公司 FCF 与标准 CFO－PP&amp;E 不同。</x:v>
      </x:c>
      <x:c r="B157" s="9"/>
      <x:c r="C157" s="9"/>
      <x:c r="D157" s="9"/>
      <x:c r="E157" s="9"/>
      <x:c r="F157" s="9"/>
      <x:c r="G157" s="9"/>
      <x:c r="H157" s="9"/>
    </x:row>
    <x:row r="158" ht="23" customHeight="1">
      <x:c r="A158" s="2"/>
      <x:c r="B158" s="2"/>
      <x:c r="C158" s="2"/>
      <x:c r="D158" s="2"/>
      <x:c r="E158" s="2"/>
      <x:c r="F158" s="2"/>
      <x:c r="G158" s="2"/>
      <x:c r="H158" s="2"/>
    </x:row>
    <x:row r="159" ht="29" customHeight="1">
      <x:c r="A159" s="62" t="str">
        <x:v>Q01  TSM 报价</x:v>
      </x:c>
      <x:c r="B159" s="7"/>
      <x:c r="C159" s="7"/>
      <x:c r="D159" s="7"/>
      <x:c r="E159" s="7"/>
      <x:c r="F159" s="7"/>
      <x:c r="G159" s="7"/>
      <x:c r="H159" s="7"/>
    </x:row>
    <x:row r="160" ht="28" customHeight="1">
      <x:c r="A160" s="9" t="str">
        <x:v>2026-09-04；Yahoo 二级行情；位置：2026-09-04T16:00:02-04:00</x:v>
      </x:c>
      <x:c r="B160" s="9"/>
      <x:c r="C160" s="9"/>
      <x:c r="D160" s="9"/>
      <x:c r="E160" s="9"/>
      <x:c r="F160" s="9"/>
      <x:c r="G160" s="9"/>
      <x:c r="H160" s="9"/>
    </x:row>
    <x:row r="161" ht="28" customHeight="1">
      <x:c r="A161" s="64" t="str">
        <x:v>https://query1.finance.yahoo.com/v8/finance/chart/TSM?interval=1d&amp;range=1mo</x:v>
      </x:c>
      <x:c r="B161" s="14"/>
      <x:c r="C161" s="14"/>
      <x:c r="D161" s="14"/>
      <x:c r="E161" s="14"/>
      <x:c r="F161" s="14"/>
      <x:c r="G161" s="14"/>
      <x:c r="H161" s="14"/>
    </x:row>
    <x:row r="162" ht="42" customHeight="1">
      <x:c r="A162" s="9" t="str">
        <x:v>Yahoo日线未调整收盘；各市场收盘不同步。</x:v>
      </x:c>
      <x:c r="B162" s="9"/>
      <x:c r="C162" s="9"/>
      <x:c r="D162" s="9"/>
      <x:c r="E162" s="9"/>
      <x:c r="F162" s="9"/>
      <x:c r="G162" s="9"/>
      <x:c r="H162" s="9"/>
    </x:row>
    <x:row r="163" ht="23" customHeight="1">
      <x:c r="A163" s="2"/>
      <x:c r="B163" s="2"/>
      <x:c r="C163" s="2"/>
      <x:c r="D163" s="2"/>
      <x:c r="E163" s="2"/>
      <x:c r="F163" s="2"/>
      <x:c r="G163" s="2"/>
      <x:c r="H163" s="2"/>
    </x:row>
    <x:row r="164" ht="29" customHeight="1">
      <x:c r="A164" s="62" t="str">
        <x:v>Q02  2330.TW 报价</x:v>
      </x:c>
      <x:c r="B164" s="7"/>
      <x:c r="C164" s="7"/>
      <x:c r="D164" s="7"/>
      <x:c r="E164" s="7"/>
      <x:c r="F164" s="7"/>
      <x:c r="G164" s="7"/>
      <x:c r="H164" s="7"/>
    </x:row>
    <x:row r="165" ht="28" customHeight="1">
      <x:c r="A165" s="9" t="str">
        <x:v>2026-09-04；Yahoo 二级行情；位置：2026-09-04T13:30:12+08:00</x:v>
      </x:c>
      <x:c r="B165" s="9"/>
      <x:c r="C165" s="9"/>
      <x:c r="D165" s="9"/>
      <x:c r="E165" s="9"/>
      <x:c r="F165" s="9"/>
      <x:c r="G165" s="9"/>
      <x:c r="H165" s="9"/>
    </x:row>
    <x:row r="166" ht="28" customHeight="1">
      <x:c r="A166" s="64" t="str">
        <x:v>https://query1.finance.yahoo.com/v8/finance/chart/2330.TW?interval=1d&amp;range=1mo</x:v>
      </x:c>
      <x:c r="B166" s="14"/>
      <x:c r="C166" s="14"/>
      <x:c r="D166" s="14"/>
      <x:c r="E166" s="14"/>
      <x:c r="F166" s="14"/>
      <x:c r="G166" s="14"/>
      <x:c r="H166" s="14"/>
    </x:row>
    <x:row r="167" ht="42" customHeight="1">
      <x:c r="A167" s="9" t="str">
        <x:v>Yahoo日线未调整收盘；各市场收盘不同步。</x:v>
      </x:c>
      <x:c r="B167" s="9"/>
      <x:c r="C167" s="9"/>
      <x:c r="D167" s="9"/>
      <x:c r="E167" s="9"/>
      <x:c r="F167" s="9"/>
      <x:c r="G167" s="9"/>
      <x:c r="H167" s="9"/>
    </x:row>
    <x:row r="168" ht="23" customHeight="1">
      <x:c r="A168" s="2"/>
      <x:c r="B168" s="2"/>
      <x:c r="C168" s="2"/>
      <x:c r="D168" s="2"/>
      <x:c r="E168" s="2"/>
      <x:c r="F168" s="2"/>
      <x:c r="G168" s="2"/>
      <x:c r="H168" s="2"/>
    </x:row>
    <x:row r="169" ht="29" customHeight="1">
      <x:c r="A169" s="62" t="str">
        <x:v>Q03  000660.KS 报价</x:v>
      </x:c>
      <x:c r="B169" s="7"/>
      <x:c r="C169" s="7"/>
      <x:c r="D169" s="7"/>
      <x:c r="E169" s="7"/>
      <x:c r="F169" s="7"/>
      <x:c r="G169" s="7"/>
      <x:c r="H169" s="7"/>
    </x:row>
    <x:row r="170" ht="28" customHeight="1">
      <x:c r="A170" s="9" t="str">
        <x:v>2026-09-04；Yahoo 二级行情；位置：2026-09-04T15:30:23+09:00</x:v>
      </x:c>
      <x:c r="B170" s="9"/>
      <x:c r="C170" s="9"/>
      <x:c r="D170" s="9"/>
      <x:c r="E170" s="9"/>
      <x:c r="F170" s="9"/>
      <x:c r="G170" s="9"/>
      <x:c r="H170" s="9"/>
    </x:row>
    <x:row r="171" ht="28" customHeight="1">
      <x:c r="A171" s="64" t="str">
        <x:v>https://query1.finance.yahoo.com/v8/finance/chart/000660.KS?interval=1d&amp;range=1mo</x:v>
      </x:c>
      <x:c r="B171" s="14"/>
      <x:c r="C171" s="14"/>
      <x:c r="D171" s="14"/>
      <x:c r="E171" s="14"/>
      <x:c r="F171" s="14"/>
      <x:c r="G171" s="14"/>
      <x:c r="H171" s="14"/>
    </x:row>
    <x:row r="172" ht="42" customHeight="1">
      <x:c r="A172" s="9" t="str">
        <x:v>Yahoo日线未调整收盘；各市场收盘不同步。</x:v>
      </x:c>
      <x:c r="B172" s="9"/>
      <x:c r="C172" s="9"/>
      <x:c r="D172" s="9"/>
      <x:c r="E172" s="9"/>
      <x:c r="F172" s="9"/>
      <x:c r="G172" s="9"/>
      <x:c r="H172" s="9"/>
    </x:row>
    <x:row r="173" ht="23" customHeight="1">
      <x:c r="A173" s="2"/>
      <x:c r="B173" s="2"/>
      <x:c r="C173" s="2"/>
      <x:c r="D173" s="2"/>
      <x:c r="E173" s="2"/>
      <x:c r="F173" s="2"/>
      <x:c r="G173" s="2"/>
      <x:c r="H173" s="2"/>
    </x:row>
    <x:row r="174" ht="29" customHeight="1">
      <x:c r="A174" s="62" t="str">
        <x:v>Q04  MU 报价</x:v>
      </x:c>
      <x:c r="B174" s="7"/>
      <x:c r="C174" s="7"/>
      <x:c r="D174" s="7"/>
      <x:c r="E174" s="7"/>
      <x:c r="F174" s="7"/>
      <x:c r="G174" s="7"/>
      <x:c r="H174" s="7"/>
    </x:row>
    <x:row r="175" ht="28" customHeight="1">
      <x:c r="A175" s="9" t="str">
        <x:v>2026-09-04；Yahoo 二级行情；位置：2026-09-04T16:00:01-04:00</x:v>
      </x:c>
      <x:c r="B175" s="9"/>
      <x:c r="C175" s="9"/>
      <x:c r="D175" s="9"/>
      <x:c r="E175" s="9"/>
      <x:c r="F175" s="9"/>
      <x:c r="G175" s="9"/>
      <x:c r="H175" s="9"/>
    </x:row>
    <x:row r="176" ht="28" customHeight="1">
      <x:c r="A176" s="64" t="str">
        <x:v>https://query1.finance.yahoo.com/v8/finance/chart/MU?interval=1d&amp;range=1mo</x:v>
      </x:c>
      <x:c r="B176" s="14"/>
      <x:c r="C176" s="14"/>
      <x:c r="D176" s="14"/>
      <x:c r="E176" s="14"/>
      <x:c r="F176" s="14"/>
      <x:c r="G176" s="14"/>
      <x:c r="H176" s="14"/>
    </x:row>
    <x:row r="177" ht="42" customHeight="1">
      <x:c r="A177" s="9" t="str">
        <x:v>Yahoo日线未调整收盘；各市场收盘不同步。</x:v>
      </x:c>
      <x:c r="B177" s="9"/>
      <x:c r="C177" s="9"/>
      <x:c r="D177" s="9"/>
      <x:c r="E177" s="9"/>
      <x:c r="F177" s="9"/>
      <x:c r="G177" s="9"/>
      <x:c r="H177" s="9"/>
    </x:row>
    <x:row r="178" ht="23" customHeight="1">
      <x:c r="A178" s="2"/>
      <x:c r="B178" s="2"/>
      <x:c r="C178" s="2"/>
      <x:c r="D178" s="2"/>
      <x:c r="E178" s="2"/>
      <x:c r="F178" s="2"/>
      <x:c r="G178" s="2"/>
      <x:c r="H178" s="2"/>
    </x:row>
    <x:row r="179" ht="29" customHeight="1">
      <x:c r="A179" s="62" t="str">
        <x:v>Q05  ETN 报价</x:v>
      </x:c>
      <x:c r="B179" s="7"/>
      <x:c r="C179" s="7"/>
      <x:c r="D179" s="7"/>
      <x:c r="E179" s="7"/>
      <x:c r="F179" s="7"/>
      <x:c r="G179" s="7"/>
      <x:c r="H179" s="7"/>
    </x:row>
    <x:row r="180" ht="28" customHeight="1">
      <x:c r="A180" s="9" t="str">
        <x:v>2026-09-04；Yahoo 二级行情；位置：2026-09-04T16:00:03-04:00</x:v>
      </x:c>
      <x:c r="B180" s="9"/>
      <x:c r="C180" s="9"/>
      <x:c r="D180" s="9"/>
      <x:c r="E180" s="9"/>
      <x:c r="F180" s="9"/>
      <x:c r="G180" s="9"/>
      <x:c r="H180" s="9"/>
    </x:row>
    <x:row r="181" ht="28" customHeight="1">
      <x:c r="A181" s="64" t="str">
        <x:v>https://query1.finance.yahoo.com/v8/finance/chart/ETN?interval=1d&amp;range=1mo</x:v>
      </x:c>
      <x:c r="B181" s="14"/>
      <x:c r="C181" s="14"/>
      <x:c r="D181" s="14"/>
      <x:c r="E181" s="14"/>
      <x:c r="F181" s="14"/>
      <x:c r="G181" s="14"/>
      <x:c r="H181" s="14"/>
    </x:row>
    <x:row r="182" ht="42" customHeight="1">
      <x:c r="A182" s="9" t="str">
        <x:v>Yahoo日线未调整收盘；各市场收盘不同步。</x:v>
      </x:c>
      <x:c r="B182" s="9"/>
      <x:c r="C182" s="9"/>
      <x:c r="D182" s="9"/>
      <x:c r="E182" s="9"/>
      <x:c r="F182" s="9"/>
      <x:c r="G182" s="9"/>
      <x:c r="H182" s="9"/>
    </x:row>
    <x:row r="183" ht="23" customHeight="1">
      <x:c r="A183" s="2"/>
      <x:c r="B183" s="2"/>
      <x:c r="C183" s="2"/>
      <x:c r="D183" s="2"/>
      <x:c r="E183" s="2"/>
      <x:c r="F183" s="2"/>
      <x:c r="G183" s="2"/>
      <x:c r="H183" s="2"/>
    </x:row>
    <x:row r="184" ht="29" customHeight="1">
      <x:c r="A184" s="62" t="str">
        <x:v>Q06  GEV 报价</x:v>
      </x:c>
      <x:c r="B184" s="7"/>
      <x:c r="C184" s="7"/>
      <x:c r="D184" s="7"/>
      <x:c r="E184" s="7"/>
      <x:c r="F184" s="7"/>
      <x:c r="G184" s="7"/>
      <x:c r="H184" s="7"/>
    </x:row>
    <x:row r="185" ht="28" customHeight="1">
      <x:c r="A185" s="9" t="str">
        <x:v>2026-09-04；Yahoo 二级行情；位置：2026-09-04T16:00:02-04:00</x:v>
      </x:c>
      <x:c r="B185" s="9"/>
      <x:c r="C185" s="9"/>
      <x:c r="D185" s="9"/>
      <x:c r="E185" s="9"/>
      <x:c r="F185" s="9"/>
      <x:c r="G185" s="9"/>
      <x:c r="H185" s="9"/>
    </x:row>
    <x:row r="186" ht="28" customHeight="1">
      <x:c r="A186" s="64" t="str">
        <x:v>https://query1.finance.yahoo.com/v8/finance/chart/GEV?interval=1d&amp;range=1mo</x:v>
      </x:c>
      <x:c r="B186" s="14"/>
      <x:c r="C186" s="14"/>
      <x:c r="D186" s="14"/>
      <x:c r="E186" s="14"/>
      <x:c r="F186" s="14"/>
      <x:c r="G186" s="14"/>
      <x:c r="H186" s="14"/>
    </x:row>
    <x:row r="187" ht="42" customHeight="1">
      <x:c r="A187" s="9" t="str">
        <x:v>Yahoo日线未调整收盘；各市场收盘不同步。</x:v>
      </x:c>
      <x:c r="B187" s="9"/>
      <x:c r="C187" s="9"/>
      <x:c r="D187" s="9"/>
      <x:c r="E187" s="9"/>
      <x:c r="F187" s="9"/>
      <x:c r="G187" s="9"/>
      <x:c r="H187" s="9"/>
    </x:row>
    <x:row r="188" ht="23" customHeight="1">
      <x:c r="A188" s="2"/>
      <x:c r="B188" s="2"/>
      <x:c r="C188" s="2"/>
      <x:c r="D188" s="2"/>
      <x:c r="E188" s="2"/>
      <x:c r="F188" s="2"/>
      <x:c r="G188" s="2"/>
      <x:c r="H188" s="2"/>
    </x:row>
    <x:row r="189" ht="29" customHeight="1">
      <x:c r="A189" s="62" t="str">
        <x:v>Q07  VRT 报价</x:v>
      </x:c>
      <x:c r="B189" s="7"/>
      <x:c r="C189" s="7"/>
      <x:c r="D189" s="7"/>
      <x:c r="E189" s="7"/>
      <x:c r="F189" s="7"/>
      <x:c r="G189" s="7"/>
      <x:c r="H189" s="7"/>
    </x:row>
    <x:row r="190" ht="28" customHeight="1">
      <x:c r="A190" s="9" t="str">
        <x:v>2026-09-04；Yahoo 二级行情；位置：2026-09-04T16:00:02-04:00</x:v>
      </x:c>
      <x:c r="B190" s="9"/>
      <x:c r="C190" s="9"/>
      <x:c r="D190" s="9"/>
      <x:c r="E190" s="9"/>
      <x:c r="F190" s="9"/>
      <x:c r="G190" s="9"/>
      <x:c r="H190" s="9"/>
    </x:row>
    <x:row r="191" ht="28" customHeight="1">
      <x:c r="A191" s="64" t="str">
        <x:v>https://query1.finance.yahoo.com/v8/finance/chart/VRT?interval=1d&amp;range=1mo</x:v>
      </x:c>
      <x:c r="B191" s="14"/>
      <x:c r="C191" s="14"/>
      <x:c r="D191" s="14"/>
      <x:c r="E191" s="14"/>
      <x:c r="F191" s="14"/>
      <x:c r="G191" s="14"/>
      <x:c r="H191" s="14"/>
    </x:row>
    <x:row r="192" ht="42" customHeight="1">
      <x:c r="A192" s="9" t="str">
        <x:v>Yahoo日线未调整收盘；各市场收盘不同步。</x:v>
      </x:c>
      <x:c r="B192" s="9"/>
      <x:c r="C192" s="9"/>
      <x:c r="D192" s="9"/>
      <x:c r="E192" s="9"/>
      <x:c r="F192" s="9"/>
      <x:c r="G192" s="9"/>
      <x:c r="H192" s="9"/>
    </x:row>
    <x:row r="193" ht="23" customHeight="1">
      <x:c r="A193" s="2"/>
      <x:c r="B193" s="2"/>
      <x:c r="C193" s="2"/>
      <x:c r="D193" s="2"/>
      <x:c r="E193" s="2"/>
      <x:c r="F193" s="2"/>
      <x:c r="G193" s="2"/>
      <x:c r="H193" s="2"/>
    </x:row>
    <x:row r="194" ht="29" customHeight="1">
      <x:c r="A194" s="62" t="str">
        <x:v>Q08  SU.PA 报价</x:v>
      </x:c>
      <x:c r="B194" s="7"/>
      <x:c r="C194" s="7"/>
      <x:c r="D194" s="7"/>
      <x:c r="E194" s="7"/>
      <x:c r="F194" s="7"/>
      <x:c r="G194" s="7"/>
      <x:c r="H194" s="7"/>
    </x:row>
    <x:row r="195" ht="28" customHeight="1">
      <x:c r="A195" s="9" t="str">
        <x:v>2026-09-04；Yahoo 二级行情；位置：2026-09-04T17:36:56+02:00</x:v>
      </x:c>
      <x:c r="B195" s="9"/>
      <x:c r="C195" s="9"/>
      <x:c r="D195" s="9"/>
      <x:c r="E195" s="9"/>
      <x:c r="F195" s="9"/>
      <x:c r="G195" s="9"/>
      <x:c r="H195" s="9"/>
    </x:row>
    <x:row r="196" ht="28" customHeight="1">
      <x:c r="A196" s="64" t="str">
        <x:v>https://query1.finance.yahoo.com/v8/finance/chart/SU.PA?interval=1d&amp;range=1mo</x:v>
      </x:c>
      <x:c r="B196" s="14"/>
      <x:c r="C196" s="14"/>
      <x:c r="D196" s="14"/>
      <x:c r="E196" s="14"/>
      <x:c r="F196" s="14"/>
      <x:c r="G196" s="14"/>
      <x:c r="H196" s="14"/>
    </x:row>
    <x:row r="197" ht="42" customHeight="1">
      <x:c r="A197" s="9" t="str">
        <x:v>Yahoo regularMarketPrice 最新常规市场报价；当日历史日线close缺失；各市场收盘不同步。</x:v>
      </x:c>
      <x:c r="B197" s="9"/>
      <x:c r="C197" s="9"/>
      <x:c r="D197" s="9"/>
      <x:c r="E197" s="9"/>
      <x:c r="F197" s="9"/>
      <x:c r="G197" s="9"/>
      <x:c r="H197" s="9"/>
    </x:row>
    <x:row r="198" ht="23" customHeight="1">
      <x:c r="A198" s="2"/>
      <x:c r="B198" s="2"/>
      <x:c r="C198" s="2"/>
      <x:c r="D198" s="2"/>
      <x:c r="E198" s="2"/>
      <x:c r="F198" s="2"/>
      <x:c r="G198" s="2"/>
      <x:c r="H198" s="2"/>
    </x:row>
    <x:row r="199" ht="29" customHeight="1">
      <x:c r="A199" s="62" t="str">
        <x:v>Q09  NVDA 报价</x:v>
      </x:c>
      <x:c r="B199" s="7"/>
      <x:c r="C199" s="7"/>
      <x:c r="D199" s="7"/>
      <x:c r="E199" s="7"/>
      <x:c r="F199" s="7"/>
      <x:c r="G199" s="7"/>
      <x:c r="H199" s="7"/>
    </x:row>
    <x:row r="200" ht="28" customHeight="1">
      <x:c r="A200" s="9" t="str">
        <x:v>2026-09-04；Yahoo 二级行情；位置：2026-09-04T16:00:00-04:00</x:v>
      </x:c>
      <x:c r="B200" s="9"/>
      <x:c r="C200" s="9"/>
      <x:c r="D200" s="9"/>
      <x:c r="E200" s="9"/>
      <x:c r="F200" s="9"/>
      <x:c r="G200" s="9"/>
      <x:c r="H200" s="9"/>
    </x:row>
    <x:row r="201" ht="28" customHeight="1">
      <x:c r="A201" s="64" t="str">
        <x:v>https://query1.finance.yahoo.com/v8/finance/chart/NVDA?interval=1d&amp;range=1mo</x:v>
      </x:c>
      <x:c r="B201" s="14"/>
      <x:c r="C201" s="14"/>
      <x:c r="D201" s="14"/>
      <x:c r="E201" s="14"/>
      <x:c r="F201" s="14"/>
      <x:c r="G201" s="14"/>
      <x:c r="H201" s="14"/>
    </x:row>
    <x:row r="202" ht="42" customHeight="1">
      <x:c r="A202" s="9" t="str">
        <x:v>Yahoo日线未调整收盘；各市场收盘不同步。</x:v>
      </x:c>
      <x:c r="B202" s="9"/>
      <x:c r="C202" s="9"/>
      <x:c r="D202" s="9"/>
      <x:c r="E202" s="9"/>
      <x:c r="F202" s="9"/>
      <x:c r="G202" s="9"/>
      <x:c r="H202" s="9"/>
    </x:row>
    <x:row r="203" ht="23" customHeight="1">
      <x:c r="A203" s="2"/>
      <x:c r="B203" s="2"/>
      <x:c r="C203" s="2"/>
      <x:c r="D203" s="2"/>
      <x:c r="E203" s="2"/>
      <x:c r="F203" s="2"/>
      <x:c r="G203" s="2"/>
      <x:c r="H203" s="2"/>
    </x:row>
    <x:row r="204" ht="29" customHeight="1">
      <x:c r="A204" s="62" t="str">
        <x:v>Q10  AVGO 报价</x:v>
      </x:c>
      <x:c r="B204" s="7"/>
      <x:c r="C204" s="7"/>
      <x:c r="D204" s="7"/>
      <x:c r="E204" s="7"/>
      <x:c r="F204" s="7"/>
      <x:c r="G204" s="7"/>
      <x:c r="H204" s="7"/>
    </x:row>
    <x:row r="205" ht="28" customHeight="1">
      <x:c r="A205" s="9" t="str">
        <x:v>2026-09-04；Yahoo 二级行情；位置：2026-09-04T16:00:01-04:00</x:v>
      </x:c>
      <x:c r="B205" s="9"/>
      <x:c r="C205" s="9"/>
      <x:c r="D205" s="9"/>
      <x:c r="E205" s="9"/>
      <x:c r="F205" s="9"/>
      <x:c r="G205" s="9"/>
      <x:c r="H205" s="9"/>
    </x:row>
    <x:row r="206" ht="28" customHeight="1">
      <x:c r="A206" s="64" t="str">
        <x:v>https://query1.finance.yahoo.com/v8/finance/chart/AVGO?interval=1d&amp;range=1mo</x:v>
      </x:c>
      <x:c r="B206" s="14"/>
      <x:c r="C206" s="14"/>
      <x:c r="D206" s="14"/>
      <x:c r="E206" s="14"/>
      <x:c r="F206" s="14"/>
      <x:c r="G206" s="14"/>
      <x:c r="H206" s="14"/>
    </x:row>
    <x:row r="207" ht="42" customHeight="1">
      <x:c r="A207" s="9" t="str">
        <x:v>Yahoo日线未调整收盘；各市场收盘不同步。</x:v>
      </x:c>
      <x:c r="B207" s="9"/>
      <x:c r="C207" s="9"/>
      <x:c r="D207" s="9"/>
      <x:c r="E207" s="9"/>
      <x:c r="F207" s="9"/>
      <x:c r="G207" s="9"/>
      <x:c r="H207" s="9"/>
    </x:row>
    <x:row r="208" ht="23" customHeight="1">
      <x:c r="A208" s="2"/>
      <x:c r="B208" s="2"/>
      <x:c r="C208" s="2"/>
      <x:c r="D208" s="2"/>
      <x:c r="E208" s="2"/>
      <x:c r="F208" s="2"/>
      <x:c r="G208" s="2"/>
      <x:c r="H208" s="2"/>
    </x:row>
    <x:row r="209" ht="29" customHeight="1">
      <x:c r="A209" s="62" t="str">
        <x:v>Q11  ANET 报价</x:v>
      </x:c>
      <x:c r="B209" s="7"/>
      <x:c r="C209" s="7"/>
      <x:c r="D209" s="7"/>
      <x:c r="E209" s="7"/>
      <x:c r="F209" s="7"/>
      <x:c r="G209" s="7"/>
      <x:c r="H209" s="7"/>
    </x:row>
    <x:row r="210" ht="28" customHeight="1">
      <x:c r="A210" s="9" t="str">
        <x:v>2026-09-04；Yahoo 二级行情；位置：2026-09-04T16:00:03-04:00</x:v>
      </x:c>
      <x:c r="B210" s="9"/>
      <x:c r="C210" s="9"/>
      <x:c r="D210" s="9"/>
      <x:c r="E210" s="9"/>
      <x:c r="F210" s="9"/>
      <x:c r="G210" s="9"/>
      <x:c r="H210" s="9"/>
    </x:row>
    <x:row r="211" ht="28" customHeight="1">
      <x:c r="A211" s="64" t="str">
        <x:v>https://query1.finance.yahoo.com/v8/finance/chart/ANET?interval=1d&amp;range=1mo</x:v>
      </x:c>
      <x:c r="B211" s="14"/>
      <x:c r="C211" s="14"/>
      <x:c r="D211" s="14"/>
      <x:c r="E211" s="14"/>
      <x:c r="F211" s="14"/>
      <x:c r="G211" s="14"/>
      <x:c r="H211" s="14"/>
    </x:row>
    <x:row r="212" ht="42" customHeight="1">
      <x:c r="A212" s="9" t="str">
        <x:v>Yahoo日线未调整收盘；各市场收盘不同步。</x:v>
      </x:c>
      <x:c r="B212" s="9"/>
      <x:c r="C212" s="9"/>
      <x:c r="D212" s="9"/>
      <x:c r="E212" s="9"/>
      <x:c r="F212" s="9"/>
      <x:c r="G212" s="9"/>
      <x:c r="H212" s="9"/>
    </x:row>
    <x:row r="213" ht="23" customHeight="1">
      <x:c r="A213" s="2"/>
      <x:c r="B213" s="2"/>
      <x:c r="C213" s="2"/>
      <x:c r="D213" s="2"/>
      <x:c r="E213" s="2"/>
      <x:c r="F213" s="2"/>
      <x:c r="G213" s="2"/>
      <x:c r="H213" s="2"/>
    </x:row>
    <x:row r="214" ht="29" customHeight="1">
      <x:c r="A214" s="62" t="str">
        <x:v>Q12  ENR.DE 报价</x:v>
      </x:c>
      <x:c r="B214" s="7"/>
      <x:c r="C214" s="7"/>
      <x:c r="D214" s="7"/>
      <x:c r="E214" s="7"/>
      <x:c r="F214" s="7"/>
      <x:c r="G214" s="7"/>
      <x:c r="H214" s="7"/>
    </x:row>
    <x:row r="215" ht="28" customHeight="1">
      <x:c r="A215" s="9" t="str">
        <x:v>2026-09-04；Yahoo 二级行情；位置：2026-09-04T17:35:36+02:00</x:v>
      </x:c>
      <x:c r="B215" s="9"/>
      <x:c r="C215" s="9"/>
      <x:c r="D215" s="9"/>
      <x:c r="E215" s="9"/>
      <x:c r="F215" s="9"/>
      <x:c r="G215" s="9"/>
      <x:c r="H215" s="9"/>
    </x:row>
    <x:row r="216" ht="28" customHeight="1">
      <x:c r="A216" s="64" t="str">
        <x:v>https://query1.finance.yahoo.com/v8/finance/chart/ENR.DE?interval=1d&amp;range=1mo</x:v>
      </x:c>
      <x:c r="B216" s="14"/>
      <x:c r="C216" s="14"/>
      <x:c r="D216" s="14"/>
      <x:c r="E216" s="14"/>
      <x:c r="F216" s="14"/>
      <x:c r="G216" s="14"/>
      <x:c r="H216" s="14"/>
    </x:row>
    <x:row r="217" ht="42" customHeight="1">
      <x:c r="A217" s="9" t="str">
        <x:v>Yahoo regularMarketPrice 最新常规市场报价；当日历史日线close缺失；各市场收盘不同步。</x:v>
      </x:c>
      <x:c r="B217" s="9"/>
      <x:c r="C217" s="9"/>
      <x:c r="D217" s="9"/>
      <x:c r="E217" s="9"/>
      <x:c r="F217" s="9"/>
      <x:c r="G217" s="9"/>
      <x:c r="H217" s="9"/>
    </x:row>
    <x:row r="218" ht="23" customHeight="1">
      <x:c r="A218" s="2"/>
      <x:c r="B218" s="2"/>
      <x:c r="C218" s="2"/>
      <x:c r="D218" s="2"/>
      <x:c r="E218" s="2"/>
      <x:c r="F218" s="2"/>
      <x:c r="G218" s="2"/>
      <x:c r="H218" s="2"/>
    </x:row>
    <x:row r="219" ht="29" customHeight="1">
      <x:c r="A219" s="62" t="str">
        <x:v>FX1  TWD=X 汇率</x:v>
      </x:c>
      <x:c r="B219" s="7"/>
      <x:c r="C219" s="7"/>
      <x:c r="D219" s="7"/>
      <x:c r="E219" s="7"/>
      <x:c r="F219" s="7"/>
      <x:c r="G219" s="7"/>
      <x:c r="H219" s="7"/>
    </x:row>
    <x:row r="220" ht="28" customHeight="1">
      <x:c r="A220" s="9" t="str">
        <x:v>2026-09-04；Yahoo 二级汇率；位置：TWD per USD</x:v>
      </x:c>
      <x:c r="B220" s="9"/>
      <x:c r="C220" s="9"/>
      <x:c r="D220" s="9"/>
      <x:c r="E220" s="9"/>
      <x:c r="F220" s="9"/>
      <x:c r="G220" s="9"/>
      <x:c r="H220" s="9"/>
    </x:row>
    <x:row r="221" ht="28" customHeight="1">
      <x:c r="A221" s="64" t="str">
        <x:v>https://query1.finance.yahoo.com/v8/finance/chart/TWD=X?interval=1d&amp;range=5d</x:v>
      </x:c>
      <x:c r="B221" s="14"/>
      <x:c r="C221" s="14"/>
      <x:c r="D221" s="14"/>
      <x:c r="E221" s="14"/>
      <x:c r="F221" s="14"/>
      <x:c r="G221" s="14"/>
      <x:c r="H221" s="14"/>
    </x:row>
    <x:row r="222" ht="42" customHeight="1">
      <x:c r="A222" s="9" t="str">
        <x:v>历史日线；非同一瞬间的可交易换汇价格。</x:v>
      </x:c>
      <x:c r="B222" s="9"/>
      <x:c r="C222" s="9"/>
      <x:c r="D222" s="9"/>
      <x:c r="E222" s="9"/>
      <x:c r="F222" s="9"/>
      <x:c r="G222" s="9"/>
      <x:c r="H222" s="9"/>
    </x:row>
    <x:row r="223" ht="23" customHeight="1">
      <x:c r="A223" s="2"/>
      <x:c r="B223" s="2"/>
      <x:c r="C223" s="2"/>
      <x:c r="D223" s="2"/>
      <x:c r="E223" s="2"/>
      <x:c r="F223" s="2"/>
      <x:c r="G223" s="2"/>
      <x:c r="H223" s="2"/>
    </x:row>
    <x:row r="224" ht="29" customHeight="1">
      <x:c r="A224" s="62" t="str">
        <x:v>FX2  KRW=X 汇率</x:v>
      </x:c>
      <x:c r="B224" s="7"/>
      <x:c r="C224" s="7"/>
      <x:c r="D224" s="7"/>
      <x:c r="E224" s="7"/>
      <x:c r="F224" s="7"/>
      <x:c r="G224" s="7"/>
      <x:c r="H224" s="7"/>
    </x:row>
    <x:row r="225" ht="28" customHeight="1">
      <x:c r="A225" s="9" t="str">
        <x:v>2026-09-04；Yahoo 二级汇率；位置：KRW per USD</x:v>
      </x:c>
      <x:c r="B225" s="9"/>
      <x:c r="C225" s="9"/>
      <x:c r="D225" s="9"/>
      <x:c r="E225" s="9"/>
      <x:c r="F225" s="9"/>
      <x:c r="G225" s="9"/>
      <x:c r="H225" s="9"/>
    </x:row>
    <x:row r="226" ht="28" customHeight="1">
      <x:c r="A226" s="64" t="str">
        <x:v>https://query1.finance.yahoo.com/v8/finance/chart/KRW=X?interval=1d&amp;range=5d</x:v>
      </x:c>
      <x:c r="B226" s="14"/>
      <x:c r="C226" s="14"/>
      <x:c r="D226" s="14"/>
      <x:c r="E226" s="14"/>
      <x:c r="F226" s="14"/>
      <x:c r="G226" s="14"/>
      <x:c r="H226" s="14"/>
    </x:row>
    <x:row r="227" ht="42" customHeight="1">
      <x:c r="A227" s="9" t="str">
        <x:v>历史日线；非同一瞬间的可交易换汇价格。</x:v>
      </x:c>
      <x:c r="B227" s="9"/>
      <x:c r="C227" s="9"/>
      <x:c r="D227" s="9"/>
      <x:c r="E227" s="9"/>
      <x:c r="F227" s="9"/>
      <x:c r="G227" s="9"/>
      <x:c r="H227" s="9"/>
    </x:row>
    <x:row r="228" ht="23" customHeight="1">
      <x:c r="A228" s="2"/>
      <x:c r="B228" s="2"/>
      <x:c r="C228" s="2"/>
      <x:c r="D228" s="2"/>
      <x:c r="E228" s="2"/>
      <x:c r="F228" s="2"/>
      <x:c r="G228" s="2"/>
      <x:c r="H228" s="2"/>
    </x:row>
    <x:row r="229" ht="29" customHeight="1">
      <x:c r="A229" s="62" t="str">
        <x:v>FX3  EURUSD=X 汇率</x:v>
      </x:c>
      <x:c r="B229" s="7"/>
      <x:c r="C229" s="7"/>
      <x:c r="D229" s="7"/>
      <x:c r="E229" s="7"/>
      <x:c r="F229" s="7"/>
      <x:c r="G229" s="7"/>
      <x:c r="H229" s="7"/>
    </x:row>
    <x:row r="230" ht="28" customHeight="1">
      <x:c r="A230" s="9" t="str">
        <x:v>2026-09-04；Yahoo 二级汇率；位置：USD per EUR</x:v>
      </x:c>
      <x:c r="B230" s="9"/>
      <x:c r="C230" s="9"/>
      <x:c r="D230" s="9"/>
      <x:c r="E230" s="9"/>
      <x:c r="F230" s="9"/>
      <x:c r="G230" s="9"/>
      <x:c r="H230" s="9"/>
    </x:row>
    <x:row r="231" ht="28" customHeight="1">
      <x:c r="A231" s="64" t="str">
        <x:v>https://query1.finance.yahoo.com/v8/finance/chart/EURUSD=X?interval=1d&amp;range=5d</x:v>
      </x:c>
      <x:c r="B231" s="14"/>
      <x:c r="C231" s="14"/>
      <x:c r="D231" s="14"/>
      <x:c r="E231" s="14"/>
      <x:c r="F231" s="14"/>
      <x:c r="G231" s="14"/>
      <x:c r="H231" s="14"/>
    </x:row>
    <x:row r="232" ht="42" customHeight="1">
      <x:c r="A232" s="9" t="str">
        <x:v>历史日线；非同一瞬间的可交易换汇价格。</x:v>
      </x:c>
      <x:c r="B232" s="9"/>
      <x:c r="C232" s="9"/>
      <x:c r="D232" s="9"/>
      <x:c r="E232" s="9"/>
      <x:c r="F232" s="9"/>
      <x:c r="G232" s="9"/>
      <x:c r="H232" s="9"/>
    </x:row>
    <x:row r="233" ht="23" customHeight="1">
      <x:c r="A233" s="2"/>
      <x:c r="B233" s="2"/>
      <x:c r="C233" s="2"/>
      <x:c r="D233" s="2"/>
      <x:c r="E233" s="2"/>
      <x:c r="F233" s="2"/>
      <x:c r="G233" s="2"/>
      <x:c r="H233" s="2"/>
    </x:row>
    <x:row r="234" ht="29" customHeight="1">
      <x:c r="A234" s="62" t="str">
        <x:v>MP01  Constellation Reports Second Quarter 2026 Results</x:v>
      </x:c>
      <x:c r="B234" s="7"/>
      <x:c r="C234" s="7"/>
      <x:c r="D234" s="7"/>
      <x:c r="E234" s="7"/>
      <x:c r="F234" s="7"/>
      <x:c r="G234" s="7"/>
      <x:c r="H234" s="7"/>
    </x:row>
    <x:row r="235" ht="28" customHeight="1">
      <x:c r="A235" s="9" t="str">
        <x:v>2026-08-06；公司一级披露；位置：新闻稿；PDF 第1–4页：指引、Crane、新增PPA及调整盈利对账</x:v>
      </x:c>
      <x:c r="B235" s="9"/>
      <x:c r="C235" s="9"/>
      <x:c r="D235" s="9"/>
      <x:c r="E235" s="9"/>
      <x:c r="F235" s="9"/>
      <x:c r="G235" s="9"/>
      <x:c r="H235" s="9"/>
    </x:row>
    <x:row r="236" ht="28" customHeight="1">
      <x:c r="A236" s="64" t="str">
        <x:v>https://www.constellationenergy.com/news/2026/08/constellation-reports-second-quarter-2026-results.html</x:v>
      </x:c>
      <x:c r="B236" s="14"/>
      <x:c r="C236" s="14"/>
      <x:c r="D236" s="14"/>
      <x:c r="E236" s="14"/>
      <x:c r="F236" s="14"/>
      <x:c r="G236" s="14"/>
      <x:c r="H236" s="14"/>
    </x:row>
    <x:row r="237" ht="42" customHeight="1">
      <x:c r="A237" s="9" t="str">
        <x:v>调整EPS为公司非GAAP口径；2027重启为目标；本季新增920MW合同2029–2032年开始。</x:v>
      </x:c>
      <x:c r="B237" s="9"/>
      <x:c r="C237" s="9"/>
      <x:c r="D237" s="9"/>
      <x:c r="E237" s="9"/>
      <x:c r="F237" s="9"/>
      <x:c r="G237" s="9"/>
      <x:c r="H237" s="9"/>
    </x:row>
    <x:row r="238" ht="23" customHeight="1">
      <x:c r="A238" s="2"/>
      <x:c r="B238" s="2"/>
      <x:c r="C238" s="2"/>
      <x:c r="D238" s="2"/>
      <x:c r="E238" s="2"/>
      <x:c r="F238" s="2"/>
      <x:c r="G238" s="2"/>
      <x:c r="H238" s="2"/>
    </x:row>
    <x:row r="239" ht="29" customHeight="1">
      <x:c r="A239" s="62" t="str">
        <x:v>MP02  Constellation and Meta Sign 20-Year Clinton PPA</x:v>
      </x:c>
      <x:c r="B239" s="7"/>
      <x:c r="C239" s="7"/>
      <x:c r="D239" s="7"/>
      <x:c r="E239" s="7"/>
      <x:c r="F239" s="7"/>
      <x:c r="G239" s="7"/>
      <x:c r="H239" s="7"/>
    </x:row>
    <x:row r="240" ht="28" customHeight="1">
      <x:c r="A240" s="9" t="str">
        <x:v>2025-06-03；公司一级披露；位置：开头及ZEC替代、清洁能源属性段落</x:v>
      </x:c>
      <x:c r="B240" s="9"/>
      <x:c r="C240" s="9"/>
      <x:c r="D240" s="9"/>
      <x:c r="E240" s="9"/>
      <x:c r="F240" s="9"/>
      <x:c r="G240" s="9"/>
      <x:c r="H240" s="9"/>
    </x:row>
    <x:row r="241" ht="28" customHeight="1">
      <x:c r="A241" s="64" t="str">
        <x:v>https://www.constellationenergy.com/news/2025/constellation-meta-sign-20-year-deal-for-clean-reliable-nuclear-energy-in-illinois.html</x:v>
      </x:c>
      <x:c r="B241" s="14"/>
      <x:c r="C241" s="14"/>
      <x:c r="D241" s="14"/>
      <x:c r="E241" s="14"/>
      <x:c r="F241" s="14"/>
      <x:c r="G241" s="14"/>
      <x:c r="H241" s="14"/>
    </x:row>
    <x:row r="242" ht="42" customHeight="1">
      <x:c r="A242" s="9" t="str">
        <x:v>1121MW主要为存量延续，仅30MW为增容；实际PPA单价和项目股东收益未披露。</x:v>
      </x:c>
      <x:c r="B242" s="9"/>
      <x:c r="C242" s="9"/>
      <x:c r="D242" s="9"/>
      <x:c r="E242" s="9"/>
      <x:c r="F242" s="9"/>
      <x:c r="G242" s="9"/>
      <x:c r="H242" s="9"/>
    </x:row>
    <x:row r="243" ht="23" customHeight="1">
      <x:c r="A243" s="2"/>
      <x:c r="B243" s="2"/>
      <x:c r="C243" s="2"/>
      <x:c r="D243" s="2"/>
      <x:c r="E243" s="2"/>
      <x:c r="F243" s="2"/>
      <x:c r="G243" s="2"/>
      <x:c r="H243" s="2"/>
    </x:row>
    <x:row r="244" ht="29" customHeight="1">
      <x:c r="A244" s="62" t="str">
        <x:v>MP03  Constellation to Launch Crane Clean Energy Center</x:v>
      </x:c>
      <x:c r="B244" s="7"/>
      <x:c r="C244" s="7"/>
      <x:c r="D244" s="7"/>
      <x:c r="E244" s="7"/>
      <x:c r="F244" s="7"/>
      <x:c r="G244" s="7"/>
      <x:c r="H244" s="7"/>
    </x:row>
    <x:row r="245" ht="28" customHeight="1">
      <x:c r="A245" s="9" t="str">
        <x:v>2024-09-20；公司一级披露；位置：开头：微软20年PPA、约835MW及重启条件</x:v>
      </x:c>
      <x:c r="B245" s="9"/>
      <x:c r="C245" s="9"/>
      <x:c r="D245" s="9"/>
      <x:c r="E245" s="9"/>
      <x:c r="F245" s="9"/>
      <x:c r="G245" s="9"/>
      <x:c r="H245" s="9"/>
    </x:row>
    <x:row r="246" ht="28" customHeight="1">
      <x:c r="A246" s="64" t="str">
        <x:v>https://www.constellationenergy.com/news/2024/Constellation-to-Launch-Crane-Clean-Energy-Center-Restoring-Jobs-and-Carbon-Free-Power-to-The-Grid.html</x:v>
      </x:c>
      <x:c r="B246" s="14"/>
      <x:c r="C246" s="14"/>
      <x:c r="D246" s="14"/>
      <x:c r="E246" s="14"/>
      <x:c r="F246" s="14"/>
      <x:c r="G246" s="14"/>
      <x:c r="H246" s="14"/>
    </x:row>
    <x:row r="247" ht="42" customHeight="1">
      <x:c r="A247" s="9" t="str">
        <x:v>原稿预计2028年投运；最新MP01已更新为2027年目标。合同成立不等于已投运。</x:v>
      </x:c>
      <x:c r="B247" s="9"/>
      <x:c r="C247" s="9"/>
      <x:c r="D247" s="9"/>
      <x:c r="E247" s="9"/>
      <x:c r="F247" s="9"/>
      <x:c r="G247" s="9"/>
      <x:c r="H247" s="9"/>
    </x:row>
    <x:row r="248" ht="23" customHeight="1">
      <x:c r="A248" s="2"/>
      <x:c r="B248" s="2"/>
      <x:c r="C248" s="2"/>
      <x:c r="D248" s="2"/>
      <x:c r="E248" s="2"/>
      <x:c r="F248" s="2"/>
      <x:c r="G248" s="2"/>
      <x:c r="H248" s="2"/>
    </x:row>
    <x:row r="249" ht="29" customHeight="1">
      <x:c r="A249" s="62" t="str">
        <x:v>MP04  Talen Energy Reports Second Quarter 2026 Results, Raises 2026 Guidance</x:v>
      </x:c>
      <x:c r="B249" s="7"/>
      <x:c r="C249" s="7"/>
      <x:c r="D249" s="7"/>
      <x:c r="E249" s="7"/>
      <x:c r="F249" s="7"/>
      <x:c r="G249" s="7"/>
      <x:c r="H249" s="7"/>
    </x:row>
    <x:row r="250" ht="28" customHeight="1">
      <x:c r="A250" s="9" t="str">
        <x:v>2026-08-05；公司一级披露；位置：财务表、2026指引、调整FCF定义及对账</x:v>
      </x:c>
      <x:c r="B250" s="9"/>
      <x:c r="C250" s="9"/>
      <x:c r="D250" s="9"/>
      <x:c r="E250" s="9"/>
      <x:c r="F250" s="9"/>
      <x:c r="G250" s="9"/>
      <x:c r="H250" s="9"/>
    </x:row>
    <x:row r="251" ht="28" customHeight="1">
      <x:c r="A251" s="64" t="str">
        <x:v>https://ir.talenenergy.com/news-releases/news-release-details/talen-energy-reports-second-quarter-2026-results-raises-2026/</x:v>
      </x:c>
      <x:c r="B251" s="14"/>
      <x:c r="C251" s="14"/>
      <x:c r="D251" s="14"/>
      <x:c r="E251" s="14"/>
      <x:c r="F251" s="14"/>
      <x:c r="G251" s="14"/>
      <x:c r="H251" s="14"/>
    </x:row>
    <x:row r="252" ht="42" customHeight="1">
      <x:c r="A252" s="9" t="str">
        <x:v>调整FCF已扣维护资本开支、核燃料、利息、现金税和养老金；排除开发/增长/转换资本开支及股权激励等。</x:v>
      </x:c>
      <x:c r="B252" s="9"/>
      <x:c r="C252" s="9"/>
      <x:c r="D252" s="9"/>
      <x:c r="E252" s="9"/>
      <x:c r="F252" s="9"/>
      <x:c r="G252" s="9"/>
      <x:c r="H252" s="9"/>
    </x:row>
    <x:row r="253" ht="23" customHeight="1">
      <x:c r="A253" s="2"/>
      <x:c r="B253" s="2"/>
      <x:c r="C253" s="2"/>
      <x:c r="D253" s="2"/>
      <x:c r="E253" s="2"/>
      <x:c r="F253" s="2"/>
      <x:c r="G253" s="2"/>
      <x:c r="H253" s="2"/>
    </x:row>
    <x:row r="254" ht="29" customHeight="1">
      <x:c r="A254" s="62" t="str">
        <x:v>MP05  Talen Q2 2026 Results Presentation</x:v>
      </x:c>
      <x:c r="B254" s="7"/>
      <x:c r="C254" s="7"/>
      <x:c r="D254" s="7"/>
      <x:c r="E254" s="7"/>
      <x:c r="F254" s="7"/>
      <x:c r="G254" s="7"/>
      <x:c r="H254" s="7"/>
    </x:row>
    <x:row r="255" ht="28" customHeight="1">
      <x:c r="A255" s="9" t="str">
        <x:v>2026-08-05；公司一级披露；位置：PDF第10/12/16–18/20–22页；印刷页码9/11/15–17/19–21</x:v>
      </x:c>
      <x:c r="B255" s="9"/>
      <x:c r="C255" s="9"/>
      <x:c r="D255" s="9"/>
      <x:c r="E255" s="9"/>
      <x:c r="F255" s="9"/>
      <x:c r="G255" s="9"/>
      <x:c r="H255" s="9"/>
    </x:row>
    <x:row r="256" ht="28" customHeight="1">
      <x:c r="A256" s="64" t="str">
        <x:v>https://ir.talenenergy.com/static-files/bf510e55-32b6-4dc4-b863-5b59c086ba60</x:v>
      </x:c>
      <x:c r="B256" s="14"/>
      <x:c r="C256" s="14"/>
      <x:c r="D256" s="14"/>
      <x:c r="E256" s="14"/>
      <x:c r="F256" s="14"/>
      <x:c r="G256" s="14"/>
      <x:c r="H256" s="14"/>
    </x:row>
    <x:row r="257" ht="42" customHeight="1">
      <x:c r="A257" s="9" t="str">
        <x:v>2027/2028每股调整FCF为公司展望；基础固定47.9百万股；回购影响单列。2028仅30%发电量套保，仍有较高电价风险。</x:v>
      </x:c>
      <x:c r="B257" s="9"/>
      <x:c r="C257" s="9"/>
      <x:c r="D257" s="9"/>
      <x:c r="E257" s="9"/>
      <x:c r="F257" s="9"/>
      <x:c r="G257" s="9"/>
      <x:c r="H257" s="9"/>
    </x:row>
    <x:row r="258" ht="23" customHeight="1">
      <x:c r="A258" s="2"/>
      <x:c r="B258" s="2"/>
      <x:c r="C258" s="2"/>
      <x:c r="D258" s="2"/>
      <x:c r="E258" s="2"/>
      <x:c r="F258" s="2"/>
      <x:c r="G258" s="2"/>
      <x:c r="H258" s="2"/>
    </x:row>
    <x:row r="259" ht="29" customHeight="1">
      <x:c r="A259" s="62" t="str">
        <x:v>MP06  Talen Energy Expands Nuclear Energy Relationship with Amazon</x:v>
      </x:c>
      <x:c r="B259" s="7"/>
      <x:c r="C259" s="7"/>
      <x:c r="D259" s="7"/>
      <x:c r="E259" s="7"/>
      <x:c r="F259" s="7"/>
      <x:c r="G259" s="7"/>
      <x:c r="H259" s="7"/>
    </x:row>
    <x:row r="260" ht="28" customHeight="1">
      <x:c r="A260" s="9" t="str">
        <x:v>2025-06-11；公司一级披露；位置：开头：1920MW、2042年到期、最晚2032年全量供电</x:v>
      </x:c>
      <x:c r="B260" s="9"/>
      <x:c r="C260" s="9"/>
      <x:c r="D260" s="9"/>
      <x:c r="E260" s="9"/>
      <x:c r="F260" s="9"/>
      <x:c r="G260" s="9"/>
      <x:c r="H260" s="9"/>
    </x:row>
    <x:row r="261" ht="28" customHeight="1">
      <x:c r="A261" s="64" t="str">
        <x:v>https://ir.talenenergy.com/news-releases/news-release-details/talen-energy-expands-nuclear-energy-relationship-amazon/</x:v>
      </x:c>
      <x:c r="B261" s="14"/>
      <x:c r="C261" s="14"/>
      <x:c r="D261" s="14"/>
      <x:c r="E261" s="14"/>
      <x:c r="F261" s="14"/>
      <x:c r="G261" s="14"/>
      <x:c r="H261" s="14"/>
    </x:row>
    <x:row r="262" ht="42" customHeight="1">
      <x:c r="A262" s="9" t="str">
        <x:v>全量1920MW分期爬坡；2026已完成供电模式转换不代表合同容量已全部兑现。</x:v>
      </x:c>
      <x:c r="B262" s="9"/>
      <x:c r="C262" s="9"/>
      <x:c r="D262" s="9"/>
      <x:c r="E262" s="9"/>
      <x:c r="F262" s="9"/>
      <x:c r="G262" s="9"/>
      <x:c r="H262" s="9"/>
    </x:row>
    <x:row r="263" ht="23" customHeight="1">
      <x:c r="A263" s="2"/>
      <x:c r="B263" s="2"/>
      <x:c r="C263" s="2"/>
      <x:c r="D263" s="2"/>
      <x:c r="E263" s="2"/>
      <x:c r="F263" s="2"/>
      <x:c r="G263" s="2"/>
      <x:c r="H263" s="2"/>
    </x:row>
    <x:row r="264" ht="29" customHeight="1">
      <x:c r="A264" s="62" t="str">
        <x:v>MP07  Talen Q2 2026 Form 10-Q</x:v>
      </x:c>
      <x:c r="B264" s="7"/>
      <x:c r="C264" s="7"/>
      <x:c r="D264" s="7"/>
      <x:c r="E264" s="7"/>
      <x:c r="F264" s="7"/>
      <x:c r="G264" s="7"/>
      <x:c r="H264" s="7"/>
    </x:row>
    <x:row r="265" ht="28" customHeight="1">
      <x:c r="A265" s="9" t="str">
        <x:v>2026-08-05；公司SEC申报；位置：印刷第5页现金流；第14页注8；第25–27页注13；第34/39页；第44页AWS词汇定义</x:v>
      </x:c>
      <x:c r="B265" s="9"/>
      <x:c r="C265" s="9"/>
      <x:c r="D265" s="9"/>
      <x:c r="E265" s="9"/>
      <x:c r="F265" s="9"/>
      <x:c r="G265" s="9"/>
      <x:c r="H265" s="9"/>
    </x:row>
    <x:row r="266" ht="28" customHeight="1">
      <x:c r="A266" s="64" t="str">
        <x:v>https://www.sec.gov/Archives/edgar/data/1622536/000162253626000066/tln-20260630.htm</x:v>
      </x:c>
      <x:c r="B266" s="14"/>
      <x:c r="C266" s="14"/>
      <x:c r="D266" s="14"/>
      <x:c r="E266" s="14"/>
      <x:c r="F266" s="14"/>
      <x:c r="G266" s="14"/>
      <x:c r="H266" s="14"/>
    </x:row>
    <x:row r="267" ht="42" customHeight="1">
      <x:c r="A267" s="9" t="str">
        <x:v>股权奖励经济成本与未来增长投入仍需研究假设；495百万美元为集中到期奖励结算，不能年化。</x:v>
      </x:c>
      <x:c r="B267" s="9"/>
      <x:c r="C267" s="9"/>
      <x:c r="D267" s="9"/>
      <x:c r="E267" s="9"/>
      <x:c r="F267" s="9"/>
      <x:c r="G267" s="9"/>
      <x:c r="H267" s="9"/>
    </x:row>
    <x:row r="268" ht="23" customHeight="1">
      <x:c r="A268" s="2"/>
      <x:c r="B268" s="2"/>
      <x:c r="C268" s="2"/>
      <x:c r="D268" s="2"/>
      <x:c r="E268" s="2"/>
      <x:c r="F268" s="2"/>
      <x:c r="G268" s="2"/>
      <x:c r="H268" s="2"/>
    </x:row>
    <x:row r="269" ht="29" customHeight="1">
      <x:c r="A269" s="62" t="str">
        <x:v>MP08  CEG Yahoo daily unadjusted close</x:v>
      </x:c>
      <x:c r="B269" s="7"/>
      <x:c r="C269" s="7"/>
      <x:c r="D269" s="7"/>
      <x:c r="E269" s="7"/>
      <x:c r="F269" s="7"/>
      <x:c r="G269" s="7"/>
      <x:c r="H269" s="7"/>
    </x:row>
    <x:row r="270" ht="28" customHeight="1">
      <x:c r="A270" s="9" t="str">
        <x:v>2026-09-04；公开行情；位置：2026-09-04日线；indicators.quote.close</x:v>
      </x:c>
      <x:c r="B270" s="9"/>
      <x:c r="C270" s="9"/>
      <x:c r="D270" s="9"/>
      <x:c r="E270" s="9"/>
      <x:c r="F270" s="9"/>
      <x:c r="G270" s="9"/>
      <x:c r="H270" s="9"/>
    </x:row>
    <x:row r="271" ht="28" customHeight="1">
      <x:c r="A271" s="64" t="str">
        <x:v>https://query1.finance.yahoo.com/v8/finance/chart/CEG?interval=1d&amp;range=1mo</x:v>
      </x:c>
      <x:c r="B271" s="14"/>
      <x:c r="C271" s="14"/>
      <x:c r="D271" s="14"/>
      <x:c r="E271" s="14"/>
      <x:c r="F271" s="14"/>
      <x:c r="G271" s="14"/>
      <x:c r="H271" s="14"/>
    </x:row>
    <x:row r="272" ht="42" customHeight="1">
      <x:c r="A272" s="9" t="str">
        <x:v>价格为日线未调整收盘；时间戳为该日交易时段起点，不是收盘时刻。</x:v>
      </x:c>
      <x:c r="B272" s="9"/>
      <x:c r="C272" s="9"/>
      <x:c r="D272" s="9"/>
      <x:c r="E272" s="9"/>
      <x:c r="F272" s="9"/>
      <x:c r="G272" s="9"/>
      <x:c r="H272" s="9"/>
    </x:row>
    <x:row r="273" ht="23" customHeight="1">
      <x:c r="A273" s="2"/>
      <x:c r="B273" s="2"/>
      <x:c r="C273" s="2"/>
      <x:c r="D273" s="2"/>
      <x:c r="E273" s="2"/>
      <x:c r="F273" s="2"/>
      <x:c r="G273" s="2"/>
      <x:c r="H273" s="2"/>
    </x:row>
    <x:row r="274" ht="29" customHeight="1">
      <x:c r="A274" s="62" t="str">
        <x:v>MP09  TLN Yahoo daily unadjusted close</x:v>
      </x:c>
      <x:c r="B274" s="7"/>
      <x:c r="C274" s="7"/>
      <x:c r="D274" s="7"/>
      <x:c r="E274" s="7"/>
      <x:c r="F274" s="7"/>
      <x:c r="G274" s="7"/>
      <x:c r="H274" s="7"/>
    </x:row>
    <x:row r="275" ht="28" customHeight="1">
      <x:c r="A275" s="9" t="str">
        <x:v>2026-09-04；公开行情；位置：2026-09-04日线；indicators.quote.close</x:v>
      </x:c>
      <x:c r="B275" s="9"/>
      <x:c r="C275" s="9"/>
      <x:c r="D275" s="9"/>
      <x:c r="E275" s="9"/>
      <x:c r="F275" s="9"/>
      <x:c r="G275" s="9"/>
      <x:c r="H275" s="9"/>
    </x:row>
    <x:row r="276" ht="28" customHeight="1">
      <x:c r="A276" s="64" t="str">
        <x:v>https://query1.finance.yahoo.com/v8/finance/chart/TLN?interval=1d&amp;range=1mo</x:v>
      </x:c>
      <x:c r="B276" s="14"/>
      <x:c r="C276" s="14"/>
      <x:c r="D276" s="14"/>
      <x:c r="E276" s="14"/>
      <x:c r="F276" s="14"/>
      <x:c r="G276" s="14"/>
      <x:c r="H276" s="14"/>
    </x:row>
    <x:row r="277" ht="42" customHeight="1">
      <x:c r="A277" s="9" t="str">
        <x:v>价格为日线未调整收盘；时间戳为该日交易时段起点，不是收盘时刻。</x:v>
      </x:c>
      <x:c r="B277" s="9"/>
      <x:c r="C277" s="9"/>
      <x:c r="D277" s="9"/>
      <x:c r="E277" s="9"/>
      <x:c r="F277" s="9"/>
      <x:c r="G277" s="9"/>
      <x:c r="H277" s="9"/>
    </x:row>
    <x:row r="278" ht="23" customHeight="1">
      <x:c r="A278" s="2"/>
      <x:c r="B278" s="2"/>
      <x:c r="C278" s="2"/>
      <x:c r="D278" s="2"/>
      <x:c r="E278" s="2"/>
      <x:c r="F278" s="2"/>
      <x:c r="G278" s="2"/>
      <x:c r="H278" s="2"/>
    </x:row>
    <x:row r="279" ht="23" customHeight="1">
      <x:c r="A279" s="2"/>
      <x:c r="B279" s="2"/>
      <x:c r="C279" s="2"/>
      <x:c r="D279" s="2"/>
      <x:c r="E279" s="2"/>
      <x:c r="F279" s="2"/>
      <x:c r="G279" s="2"/>
      <x:c r="H279" s="2"/>
    </x:row>
    <x:row r="280" ht="23" customHeight="1">
      <x:c r="A280" s="2"/>
      <x:c r="B280" s="2"/>
      <x:c r="C280" s="2"/>
      <x:c r="D280" s="2"/>
      <x:c r="E280" s="2"/>
      <x:c r="F280" s="2"/>
      <x:c r="G280" s="2"/>
      <x:c r="H280" s="2"/>
    </x:row>
    <x:row r="281" ht="23" customHeight="1">
      <x:c r="A281" s="2"/>
      <x:c r="B281" s="2"/>
      <x:c r="C281" s="2"/>
      <x:c r="D281" s="2"/>
      <x:c r="E281" s="2"/>
      <x:c r="F281" s="2"/>
      <x:c r="G281" s="2"/>
      <x:c r="H281" s="2"/>
    </x:row>
    <x:row r="282" ht="23" customHeight="1">
      <x:c r="A282" s="2"/>
      <x:c r="B282" s="2"/>
      <x:c r="C282" s="2"/>
      <x:c r="D282" s="2"/>
      <x:c r="E282" s="2"/>
      <x:c r="F282" s="2"/>
      <x:c r="G282" s="2"/>
      <x:c r="H282" s="2"/>
    </x:row>
    <x:row r="283" ht="23" customHeight="1">
      <x:c r="A283" s="2"/>
      <x:c r="B283" s="2"/>
      <x:c r="C283" s="2"/>
      <x:c r="D283" s="2"/>
      <x:c r="E283" s="2"/>
      <x:c r="F283" s="2"/>
      <x:c r="G283" s="2"/>
      <x:c r="H283" s="2"/>
    </x:row>
    <x:row r="284" ht="23" customHeight="1">
      <x:c r="A284" s="2"/>
      <x:c r="B284" s="2"/>
      <x:c r="C284" s="2"/>
      <x:c r="D284" s="2"/>
      <x:c r="E284" s="2"/>
      <x:c r="F284" s="2"/>
      <x:c r="G284" s="2"/>
      <x:c r="H284" s="2"/>
    </x:row>
    <x:row r="285" ht="23" customHeight="1">
      <x:c r="A285" s="2"/>
      <x:c r="B285" s="2"/>
      <x:c r="C285" s="2"/>
      <x:c r="D285" s="2"/>
      <x:c r="E285" s="2"/>
      <x:c r="F285" s="2"/>
      <x:c r="G285" s="2"/>
      <x:c r="H285" s="2"/>
    </x:row>
    <x:row r="286" ht="23" customHeight="1">
      <x:c r="A286" s="2"/>
      <x:c r="B286" s="2"/>
      <x:c r="C286" s="2"/>
      <x:c r="D286" s="2"/>
      <x:c r="E286" s="2"/>
      <x:c r="F286" s="2"/>
      <x:c r="G286" s="2"/>
      <x:c r="H286" s="2"/>
    </x:row>
    <x:row r="287" ht="23" customHeight="1">
      <x:c r="A287" s="2"/>
      <x:c r="B287" s="2"/>
      <x:c r="C287" s="2"/>
      <x:c r="D287" s="2"/>
      <x:c r="E287" s="2"/>
      <x:c r="F287" s="2"/>
      <x:c r="G287" s="2"/>
      <x:c r="H287" s="2"/>
    </x:row>
    <x:row r="288" ht="23" customHeight="1">
      <x:c r="A288" s="2"/>
      <x:c r="B288" s="2"/>
      <x:c r="C288" s="2"/>
      <x:c r="D288" s="2"/>
      <x:c r="E288" s="2"/>
      <x:c r="F288" s="2"/>
      <x:c r="G288" s="2"/>
      <x:c r="H288" s="2"/>
    </x:row>
    <x:row r="289" ht="23" customHeight="1">
      <x:c r="A289" s="2"/>
      <x:c r="B289" s="2"/>
      <x:c r="C289" s="2"/>
      <x:c r="D289" s="2"/>
      <x:c r="E289" s="2"/>
      <x:c r="F289" s="2"/>
      <x:c r="G289" s="2"/>
      <x:c r="H289" s="2"/>
    </x:row>
    <x:row r="290" ht="23" customHeight="1">
      <x:c r="A290" s="2"/>
      <x:c r="B290" s="2"/>
      <x:c r="C290" s="2"/>
      <x:c r="D290" s="2"/>
      <x:c r="E290" s="2"/>
      <x:c r="F290" s="2"/>
      <x:c r="G290" s="2"/>
      <x:c r="H290" s="2"/>
    </x:row>
    <x:row r="291" ht="23" customHeight="1">
      <x:c r="A291" s="2"/>
      <x:c r="B291" s="2"/>
      <x:c r="C291" s="2"/>
      <x:c r="D291" s="2"/>
      <x:c r="E291" s="2"/>
      <x:c r="F291" s="2"/>
      <x:c r="G291" s="2"/>
      <x:c r="H291" s="2"/>
    </x:row>
    <x:row r="292" ht="23" customHeight="1">
      <x:c r="A292" s="2"/>
      <x:c r="B292" s="2"/>
      <x:c r="C292" s="2"/>
      <x:c r="D292" s="2"/>
      <x:c r="E292" s="2"/>
      <x:c r="F292" s="2"/>
      <x:c r="G292" s="2"/>
      <x:c r="H292" s="2"/>
    </x:row>
    <x:row r="293" ht="23" customHeight="1">
      <x:c r="A293" s="2"/>
      <x:c r="B293" s="2"/>
      <x:c r="C293" s="2"/>
      <x:c r="D293" s="2"/>
      <x:c r="E293" s="2"/>
      <x:c r="F293" s="2"/>
      <x:c r="G293" s="2"/>
      <x:c r="H293" s="2"/>
    </x:row>
    <x:row r="294" ht="23" customHeight="1">
      <x:c r="A294" s="2"/>
      <x:c r="B294" s="2"/>
      <x:c r="C294" s="2"/>
      <x:c r="D294" s="2"/>
      <x:c r="E294" s="2"/>
      <x:c r="F294" s="2"/>
      <x:c r="G294" s="2"/>
      <x:c r="H294" s="2"/>
    </x:row>
    <x:row r="295" ht="23" customHeight="1">
      <x:c r="A295" s="2"/>
      <x:c r="B295" s="2"/>
      <x:c r="C295" s="2"/>
      <x:c r="D295" s="2"/>
      <x:c r="E295" s="2"/>
      <x:c r="F295" s="2"/>
      <x:c r="G295" s="2"/>
      <x:c r="H295" s="2"/>
    </x:row>
    <x:row r="296" ht="23" customHeight="1">
      <x:c r="A296" s="2"/>
      <x:c r="B296" s="2"/>
      <x:c r="C296" s="2"/>
      <x:c r="D296" s="2"/>
      <x:c r="E296" s="2"/>
      <x:c r="F296" s="2"/>
      <x:c r="G296" s="2"/>
      <x:c r="H296" s="2"/>
    </x:row>
    <x:row r="297" ht="23" customHeight="1">
      <x:c r="A297" s="2"/>
      <x:c r="B297" s="2"/>
      <x:c r="C297" s="2"/>
      <x:c r="D297" s="2"/>
      <x:c r="E297" s="2"/>
      <x:c r="F297" s="2"/>
      <x:c r="G297" s="2"/>
      <x:c r="H297" s="2"/>
    </x:row>
    <x:row r="298" ht="23" customHeight="1">
      <x:c r="A298" s="2"/>
      <x:c r="B298" s="2"/>
      <x:c r="C298" s="2"/>
      <x:c r="D298" s="2"/>
      <x:c r="E298" s="2"/>
      <x:c r="F298" s="2"/>
      <x:c r="G298" s="2"/>
      <x:c r="H298" s="2"/>
    </x:row>
    <x:row r="299" ht="23" customHeight="1">
      <x:c r="A299" s="2"/>
      <x:c r="B299" s="2"/>
      <x:c r="C299" s="2"/>
      <x:c r="D299" s="2"/>
      <x:c r="E299" s="2"/>
      <x:c r="F299" s="2"/>
      <x:c r="G299" s="2"/>
      <x:c r="H299" s="2"/>
    </x:row>
    <x:row r="300" ht="23" customHeight="1">
      <x:c r="A300" s="2"/>
      <x:c r="B300" s="2"/>
      <x:c r="C300" s="2"/>
      <x:c r="D300" s="2"/>
      <x:c r="E300" s="2"/>
      <x:c r="F300" s="2"/>
      <x:c r="G300" s="2"/>
      <x:c r="H300" s="2"/>
    </x:row>
    <x:row r="301" ht="23" customHeight="1">
      <x:c r="A301" s="2"/>
      <x:c r="B301" s="2"/>
      <x:c r="C301" s="2"/>
      <x:c r="D301" s="2"/>
      <x:c r="E301" s="2"/>
      <x:c r="F301" s="2"/>
      <x:c r="G301" s="2"/>
      <x:c r="H301" s="2"/>
    </x:row>
    <x:row r="302" ht="23" customHeight="1">
      <x:c r="A302" s="2"/>
      <x:c r="B302" s="2"/>
      <x:c r="C302" s="2"/>
      <x:c r="D302" s="2"/>
      <x:c r="E302" s="2"/>
      <x:c r="F302" s="2"/>
      <x:c r="G302" s="2"/>
      <x:c r="H302" s="2"/>
    </x:row>
    <x:row r="303" ht="23" customHeight="1">
      <x:c r="A303" s="2"/>
      <x:c r="B303" s="2"/>
      <x:c r="C303" s="2"/>
      <x:c r="D303" s="2"/>
      <x:c r="E303" s="2"/>
      <x:c r="F303" s="2"/>
      <x:c r="G303" s="2"/>
      <x:c r="H303" s="2"/>
    </x:row>
    <x:row r="304" ht="23" customHeight="1">
      <x:c r="A304" s="2"/>
      <x:c r="B304" s="2"/>
      <x:c r="C304" s="2"/>
      <x:c r="D304" s="2"/>
      <x:c r="E304" s="2"/>
      <x:c r="F304" s="2"/>
      <x:c r="G304" s="2"/>
      <x:c r="H304" s="2"/>
    </x:row>
    <x:row r="305" ht="23" customHeight="1">
      <x:c r="A305" s="2"/>
      <x:c r="B305" s="2"/>
      <x:c r="C305" s="2"/>
      <x:c r="D305" s="2"/>
      <x:c r="E305" s="2"/>
      <x:c r="F305" s="2"/>
      <x:c r="G305" s="2"/>
      <x:c r="H305" s="2"/>
    </x:row>
    <x:row r="306" ht="23" customHeight="1">
      <x:c r="A306" s="2"/>
      <x:c r="B306" s="2"/>
      <x:c r="C306" s="2"/>
      <x:c r="D306" s="2"/>
      <x:c r="E306" s="2"/>
      <x:c r="F306" s="2"/>
      <x:c r="G306" s="2"/>
      <x:c r="H306" s="2"/>
    </x:row>
    <x:row r="307" ht="23" customHeight="1">
      <x:c r="A307" s="2"/>
      <x:c r="B307" s="2"/>
      <x:c r="C307" s="2"/>
      <x:c r="D307" s="2"/>
      <x:c r="E307" s="2"/>
      <x:c r="F307" s="2"/>
      <x:c r="G307" s="2"/>
      <x:c r="H307" s="2"/>
    </x:row>
    <x:row r="308" ht="23" customHeight="1">
      <x:c r="A308" s="2"/>
      <x:c r="B308" s="2"/>
      <x:c r="C308" s="2"/>
      <x:c r="D308" s="2"/>
      <x:c r="E308" s="2"/>
      <x:c r="F308" s="2"/>
      <x:c r="G308" s="2"/>
      <x:c r="H308" s="2"/>
    </x:row>
    <x:row r="309" ht="23" customHeight="1">
      <x:c r="A309" s="2"/>
      <x:c r="B309" s="2"/>
      <x:c r="C309" s="2"/>
      <x:c r="D309" s="2"/>
      <x:c r="E309" s="2"/>
      <x:c r="F309" s="2"/>
      <x:c r="G309" s="2"/>
      <x:c r="H309" s="2"/>
    </x:row>
    <x:row r="310" ht="23" customHeight="1">
      <x:c r="A310" s="2"/>
      <x:c r="B310" s="2"/>
      <x:c r="C310" s="2"/>
      <x:c r="D310" s="2"/>
      <x:c r="E310" s="2"/>
      <x:c r="F310" s="2"/>
      <x:c r="G310" s="2"/>
      <x:c r="H310" s="2"/>
    </x:row>
    <x:row r="311" ht="23" customHeight="1">
      <x:c r="A311" s="2"/>
      <x:c r="B311" s="2"/>
      <x:c r="C311" s="2"/>
      <x:c r="D311" s="2"/>
      <x:c r="E311" s="2"/>
      <x:c r="F311" s="2"/>
      <x:c r="G311" s="2"/>
      <x:c r="H311" s="2"/>
    </x:row>
    <x:row r="312" ht="23" customHeight="1">
      <x:c r="A312" s="2"/>
      <x:c r="B312" s="2"/>
      <x:c r="C312" s="2"/>
      <x:c r="D312" s="2"/>
      <x:c r="E312" s="2"/>
      <x:c r="F312" s="2"/>
      <x:c r="G312" s="2"/>
      <x:c r="H312" s="2"/>
    </x:row>
    <x:row r="313" ht="23" customHeight="1">
      <x:c r="A313" s="2"/>
      <x:c r="B313" s="2"/>
      <x:c r="C313" s="2"/>
      <x:c r="D313" s="2"/>
      <x:c r="E313" s="2"/>
      <x:c r="F313" s="2"/>
      <x:c r="G313" s="2"/>
      <x:c r="H313" s="2"/>
    </x:row>
    <x:row r="314" ht="23" customHeight="1">
      <x:c r="A314" s="2"/>
      <x:c r="B314" s="2"/>
      <x:c r="C314" s="2"/>
      <x:c r="D314" s="2"/>
      <x:c r="E314" s="2"/>
      <x:c r="F314" s="2"/>
      <x:c r="G314" s="2"/>
      <x:c r="H314" s="2"/>
    </x:row>
    <x:row r="315" ht="23" customHeight="1">
      <x:c r="A315" s="2"/>
      <x:c r="B315" s="2"/>
      <x:c r="C315" s="2"/>
      <x:c r="D315" s="2"/>
      <x:c r="E315" s="2"/>
      <x:c r="F315" s="2"/>
      <x:c r="G315" s="2"/>
      <x:c r="H315" s="2"/>
    </x:row>
    <x:row r="316" ht="23" customHeight="1">
      <x:c r="A316" s="2"/>
      <x:c r="B316" s="2"/>
      <x:c r="C316" s="2"/>
      <x:c r="D316" s="2"/>
      <x:c r="E316" s="2"/>
      <x:c r="F316" s="2"/>
      <x:c r="G316" s="2"/>
      <x:c r="H316" s="2"/>
    </x:row>
    <x:row r="317" ht="23" customHeight="1">
      <x:c r="A317" s="2"/>
      <x:c r="B317" s="2"/>
      <x:c r="C317" s="2"/>
      <x:c r="D317" s="2"/>
      <x:c r="E317" s="2"/>
      <x:c r="F317" s="2"/>
      <x:c r="G317" s="2"/>
      <x:c r="H317" s="2"/>
    </x:row>
    <x:row r="318" ht="23" customHeight="1">
      <x:c r="A318" s="2"/>
      <x:c r="B318" s="2"/>
      <x:c r="C318" s="2"/>
      <x:c r="D318" s="2"/>
      <x:c r="E318" s="2"/>
      <x:c r="F318" s="2"/>
      <x:c r="G318" s="2"/>
      <x:c r="H318" s="2"/>
    </x:row>
    <x:row r="319" ht="23" customHeight="1">
      <x:c r="A319" s="2"/>
      <x:c r="B319" s="2"/>
      <x:c r="C319" s="2"/>
      <x:c r="D319" s="2"/>
      <x:c r="E319" s="2"/>
      <x:c r="F319" s="2"/>
      <x:c r="G319" s="2"/>
      <x:c r="H319" s="2"/>
    </x:row>
    <x:row r="320" ht="23" customHeight="1">
      <x:c r="A320" s="2"/>
      <x:c r="B320" s="2"/>
      <x:c r="C320" s="2"/>
      <x:c r="D320" s="2"/>
      <x:c r="E320" s="2"/>
      <x:c r="F320" s="2"/>
      <x:c r="G320" s="2"/>
      <x:c r="H320" s="2"/>
    </x:row>
    <x:row r="321" ht="23" customHeight="1">
      <x:c r="A321" s="2"/>
      <x:c r="B321" s="2"/>
      <x:c r="C321" s="2"/>
      <x:c r="D321" s="2"/>
      <x:c r="E321" s="2"/>
      <x:c r="F321" s="2"/>
      <x:c r="G321" s="2"/>
      <x:c r="H321" s="2"/>
    </x:row>
    <x:row r="322" ht="23" customHeight="1">
      <x:c r="A322" s="2"/>
      <x:c r="B322" s="2"/>
      <x:c r="C322" s="2"/>
      <x:c r="D322" s="2"/>
      <x:c r="E322" s="2"/>
      <x:c r="F322" s="2"/>
      <x:c r="G322" s="2"/>
      <x:c r="H322" s="2"/>
    </x:row>
    <x:row r="323" ht="23" customHeight="1">
      <x:c r="A323" s="2"/>
      <x:c r="B323" s="2"/>
      <x:c r="C323" s="2"/>
      <x:c r="D323" s="2"/>
      <x:c r="E323" s="2"/>
      <x:c r="F323" s="2"/>
      <x:c r="G323" s="2"/>
      <x:c r="H323" s="2"/>
    </x:row>
    <x:row r="324" ht="23" customHeight="1">
      <x:c r="A324" s="2"/>
      <x:c r="B324" s="2"/>
      <x:c r="C324" s="2"/>
      <x:c r="D324" s="2"/>
      <x:c r="E324" s="2"/>
      <x:c r="F324" s="2"/>
      <x:c r="G324" s="2"/>
      <x:c r="H324" s="2"/>
    </x:row>
    <x:row r="325" ht="23" customHeight="1">
      <x:c r="A325" s="2"/>
      <x:c r="B325" s="2"/>
      <x:c r="C325" s="2"/>
      <x:c r="D325" s="2"/>
      <x:c r="E325" s="2"/>
      <x:c r="F325" s="2"/>
      <x:c r="G325" s="2"/>
      <x:c r="H325" s="2"/>
    </x:row>
    <x:row r="326" ht="23" customHeight="1">
      <x:c r="A326" s="2"/>
      <x:c r="B326" s="2"/>
      <x:c r="C326" s="2"/>
      <x:c r="D326" s="2"/>
      <x:c r="E326" s="2"/>
      <x:c r="F326" s="2"/>
      <x:c r="G326" s="2"/>
      <x:c r="H326" s="2"/>
    </x:row>
    <x:row r="327" ht="23" customHeight="1">
      <x:c r="A327" s="2"/>
      <x:c r="B327" s="2"/>
      <x:c r="C327" s="2"/>
      <x:c r="D327" s="2"/>
      <x:c r="E327" s="2"/>
      <x:c r="F327" s="2"/>
      <x:c r="G327" s="2"/>
      <x:c r="H327" s="2"/>
    </x:row>
    <x:row r="328" ht="23" customHeight="1">
      <x:c r="A328" s="2"/>
      <x:c r="B328" s="2"/>
      <x:c r="C328" s="2"/>
      <x:c r="D328" s="2"/>
      <x:c r="E328" s="2"/>
      <x:c r="F328" s="2"/>
      <x:c r="G328" s="2"/>
      <x:c r="H328" s="2"/>
    </x:row>
    <x:row r="329" ht="23" customHeight="1">
      <x:c r="A329" s="2"/>
      <x:c r="B329" s="2"/>
      <x:c r="C329" s="2"/>
      <x:c r="D329" s="2"/>
      <x:c r="E329" s="2"/>
      <x:c r="F329" s="2"/>
      <x:c r="G329" s="2"/>
      <x:c r="H329" s="2"/>
    </x:row>
    <x:row r="330" ht="23" customHeight="1">
      <x:c r="A330" s="2"/>
      <x:c r="B330" s="2"/>
      <x:c r="C330" s="2"/>
      <x:c r="D330" s="2"/>
      <x:c r="E330" s="2"/>
      <x:c r="F330" s="2"/>
      <x:c r="G330" s="2"/>
      <x:c r="H330" s="2"/>
    </x:row>
    <x:row r="331" ht="23" customHeight="1">
      <x:c r="A331" s="2"/>
      <x:c r="B331" s="2"/>
      <x:c r="C331" s="2"/>
      <x:c r="D331" s="2"/>
      <x:c r="E331" s="2"/>
      <x:c r="F331" s="2"/>
      <x:c r="G331" s="2"/>
      <x:c r="H331" s="2"/>
    </x:row>
    <x:row r="332" ht="23" customHeight="1">
      <x:c r="A332" s="2"/>
      <x:c r="B332" s="2"/>
      <x:c r="C332" s="2"/>
      <x:c r="D332" s="2"/>
      <x:c r="E332" s="2"/>
      <x:c r="F332" s="2"/>
      <x:c r="G332" s="2"/>
      <x:c r="H332" s="2"/>
    </x:row>
    <x:row r="333" ht="23" customHeight="1">
      <x:c r="A333" s="2"/>
      <x:c r="B333" s="2"/>
      <x:c r="C333" s="2"/>
      <x:c r="D333" s="2"/>
      <x:c r="E333" s="2"/>
      <x:c r="F333" s="2"/>
      <x:c r="G333" s="2"/>
      <x:c r="H333" s="2"/>
    </x:row>
    <x:row r="334" ht="23" customHeight="1">
      <x:c r="A334" s="2"/>
      <x:c r="B334" s="2"/>
      <x:c r="C334" s="2"/>
      <x:c r="D334" s="2"/>
      <x:c r="E334" s="2"/>
      <x:c r="F334" s="2"/>
      <x:c r="G334" s="2"/>
      <x:c r="H334" s="2"/>
    </x:row>
    <x:row r="335" ht="23" customHeight="1">
      <x:c r="A335" s="2"/>
      <x:c r="B335" s="2"/>
      <x:c r="C335" s="2"/>
      <x:c r="D335" s="2"/>
      <x:c r="E335" s="2"/>
      <x:c r="F335" s="2"/>
      <x:c r="G335" s="2"/>
      <x:c r="H335" s="2"/>
    </x:row>
    <x:row r="336" ht="23" customHeight="1">
      <x:c r="A336" s="2"/>
      <x:c r="B336" s="2"/>
      <x:c r="C336" s="2"/>
      <x:c r="D336" s="2"/>
      <x:c r="E336" s="2"/>
      <x:c r="F336" s="2"/>
      <x:c r="G336" s="2"/>
      <x:c r="H336" s="2"/>
    </x:row>
    <x:row r="337" ht="23" customHeight="1">
      <x:c r="A337" s="2"/>
      <x:c r="B337" s="2"/>
      <x:c r="C337" s="2"/>
      <x:c r="D337" s="2"/>
      <x:c r="E337" s="2"/>
      <x:c r="F337" s="2"/>
      <x:c r="G337" s="2"/>
      <x:c r="H337" s="2"/>
    </x:row>
    <x:row r="338" ht="23" customHeight="1">
      <x:c r="A338" s="2"/>
      <x:c r="B338" s="2"/>
      <x:c r="C338" s="2"/>
      <x:c r="D338" s="2"/>
      <x:c r="E338" s="2"/>
      <x:c r="F338" s="2"/>
      <x:c r="G338" s="2"/>
      <x:c r="H338" s="2"/>
    </x:row>
    <x:row r="339" ht="23" customHeight="1">
      <x:c r="A339" s="2"/>
      <x:c r="B339" s="2"/>
      <x:c r="C339" s="2"/>
      <x:c r="D339" s="2"/>
      <x:c r="E339" s="2"/>
      <x:c r="F339" s="2"/>
      <x:c r="G339" s="2"/>
      <x:c r="H339" s="2"/>
    </x:row>
    <x:row r="340" ht="23" customHeight="1">
      <x:c r="A340" s="2"/>
      <x:c r="B340" s="2"/>
      <x:c r="C340" s="2"/>
      <x:c r="D340" s="2"/>
      <x:c r="E340" s="2"/>
      <x:c r="F340" s="2"/>
      <x:c r="G340" s="2"/>
      <x:c r="H340" s="2"/>
    </x:row>
    <x:row r="341" ht="23" customHeight="1">
      <x:c r="A341" s="2"/>
      <x:c r="B341" s="2"/>
      <x:c r="C341" s="2"/>
      <x:c r="D341" s="2"/>
      <x:c r="E341" s="2"/>
      <x:c r="F341" s="2"/>
      <x:c r="G341" s="2"/>
      <x:c r="H341" s="2"/>
    </x:row>
    <x:row r="342" ht="23" customHeight="1">
      <x:c r="A342" s="2"/>
      <x:c r="B342" s="2"/>
      <x:c r="C342" s="2"/>
      <x:c r="D342" s="2"/>
      <x:c r="E342" s="2"/>
      <x:c r="F342" s="2"/>
      <x:c r="G342" s="2"/>
      <x:c r="H342" s="2"/>
    </x:row>
    <x:row r="343" ht="23" customHeight="1">
      <x:c r="A343" s="2"/>
      <x:c r="B343" s="2"/>
      <x:c r="C343" s="2"/>
      <x:c r="D343" s="2"/>
      <x:c r="E343" s="2"/>
      <x:c r="F343" s="2"/>
      <x:c r="G343" s="2"/>
      <x:c r="H343" s="2"/>
    </x:row>
    <x:row r="344" ht="23" customHeight="1">
      <x:c r="A344" s="2"/>
      <x:c r="B344" s="2"/>
      <x:c r="C344" s="2"/>
      <x:c r="D344" s="2"/>
      <x:c r="E344" s="2"/>
      <x:c r="F344" s="2"/>
      <x:c r="G344" s="2"/>
      <x:c r="H344" s="2"/>
    </x:row>
    <x:row r="345" ht="23" customHeight="1">
      <x:c r="A345" s="2"/>
      <x:c r="B345" s="2"/>
      <x:c r="C345" s="2"/>
      <x:c r="D345" s="2"/>
      <x:c r="E345" s="2"/>
      <x:c r="F345" s="2"/>
      <x:c r="G345" s="2"/>
      <x:c r="H345" s="2"/>
    </x:row>
    <x:row r="346" ht="23" customHeight="1">
      <x:c r="A346" s="2"/>
      <x:c r="B346" s="2"/>
      <x:c r="C346" s="2"/>
      <x:c r="D346" s="2"/>
      <x:c r="E346" s="2"/>
      <x:c r="F346" s="2"/>
      <x:c r="G346" s="2"/>
      <x:c r="H346" s="2"/>
    </x:row>
    <x:row r="347" ht="23" customHeight="1">
      <x:c r="A347" s="2"/>
      <x:c r="B347" s="2"/>
      <x:c r="C347" s="2"/>
      <x:c r="D347" s="2"/>
      <x:c r="E347" s="2"/>
      <x:c r="F347" s="2"/>
      <x:c r="G347" s="2"/>
      <x:c r="H347" s="2"/>
    </x:row>
    <x:row r="348" ht="23" customHeight="1">
      <x:c r="A348" s="2"/>
      <x:c r="B348" s="2"/>
      <x:c r="C348" s="2"/>
      <x:c r="D348" s="2"/>
      <x:c r="E348" s="2"/>
      <x:c r="F348" s="2"/>
      <x:c r="G348" s="2"/>
      <x:c r="H348" s="2"/>
    </x:row>
    <x:row r="349" ht="23" customHeight="1">
      <x:c r="A349" s="2"/>
      <x:c r="B349" s="2"/>
      <x:c r="C349" s="2"/>
      <x:c r="D349" s="2"/>
      <x:c r="E349" s="2"/>
      <x:c r="F349" s="2"/>
      <x:c r="G349" s="2"/>
      <x:c r="H349" s="2"/>
    </x:row>
    <x:row r="350" ht="23" customHeight="1">
      <x:c r="A350" s="2"/>
      <x:c r="B350" s="2"/>
      <x:c r="C350" s="2"/>
      <x:c r="D350" s="2"/>
      <x:c r="E350" s="2"/>
      <x:c r="F350" s="2"/>
      <x:c r="G350" s="2"/>
      <x:c r="H350" s="2"/>
    </x:row>
    <x:row r="351" ht="23" customHeight="1">
      <x:c r="A351" s="2"/>
      <x:c r="B351" s="2"/>
      <x:c r="C351" s="2"/>
      <x:c r="D351" s="2"/>
      <x:c r="E351" s="2"/>
      <x:c r="F351" s="2"/>
      <x:c r="G351" s="2"/>
      <x:c r="H351" s="2"/>
    </x:row>
    <x:row r="352" ht="23" customHeight="1">
      <x:c r="A352" s="2"/>
      <x:c r="B352" s="2"/>
      <x:c r="C352" s="2"/>
      <x:c r="D352" s="2"/>
      <x:c r="E352" s="2"/>
      <x:c r="F352" s="2"/>
      <x:c r="G352" s="2"/>
      <x:c r="H352" s="2"/>
    </x:row>
    <x:row r="353" ht="23" customHeight="1">
      <x:c r="A353" s="2"/>
      <x:c r="B353" s="2"/>
      <x:c r="C353" s="2"/>
      <x:c r="D353" s="2"/>
      <x:c r="E353" s="2"/>
      <x:c r="F353" s="2"/>
      <x:c r="G353" s="2"/>
      <x:c r="H353" s="2"/>
    </x:row>
    <x:row r="354" ht="23" customHeight="1">
      <x:c r="A354" s="2"/>
      <x:c r="B354" s="2"/>
      <x:c r="C354" s="2"/>
      <x:c r="D354" s="2"/>
      <x:c r="E354" s="2"/>
      <x:c r="F354" s="2"/>
      <x:c r="G354" s="2"/>
      <x:c r="H354" s="2"/>
    </x:row>
    <x:row r="355" ht="23" customHeight="1">
      <x:c r="A355" s="2"/>
      <x:c r="B355" s="2"/>
      <x:c r="C355" s="2"/>
      <x:c r="D355" s="2"/>
      <x:c r="E355" s="2"/>
      <x:c r="F355" s="2"/>
      <x:c r="G355" s="2"/>
      <x:c r="H355" s="2"/>
    </x:row>
    <x:row r="356" ht="23" customHeight="1">
      <x:c r="A356" s="2"/>
      <x:c r="B356" s="2"/>
      <x:c r="C356" s="2"/>
      <x:c r="D356" s="2"/>
      <x:c r="E356" s="2"/>
      <x:c r="F356" s="2"/>
      <x:c r="G356" s="2"/>
      <x:c r="H356" s="2"/>
    </x:row>
    <x:row r="357" ht="23" customHeight="1">
      <x:c r="A357" s="2"/>
      <x:c r="B357" s="2"/>
      <x:c r="C357" s="2"/>
      <x:c r="D357" s="2"/>
      <x:c r="E357" s="2"/>
      <x:c r="F357" s="2"/>
      <x:c r="G357" s="2"/>
      <x:c r="H357" s="2"/>
    </x:row>
    <x:row r="358" ht="23" customHeight="1">
      <x:c r="A358" s="2"/>
      <x:c r="B358" s="2"/>
      <x:c r="C358" s="2"/>
      <x:c r="D358" s="2"/>
      <x:c r="E358" s="2"/>
      <x:c r="F358" s="2"/>
      <x:c r="G358" s="2"/>
      <x:c r="H358" s="2"/>
    </x:row>
    <x:row r="359" ht="23" customHeight="1">
      <x:c r="A359" s="2"/>
      <x:c r="B359" s="2"/>
      <x:c r="C359" s="2"/>
      <x:c r="D359" s="2"/>
      <x:c r="E359" s="2"/>
      <x:c r="F359" s="2"/>
      <x:c r="G359" s="2"/>
      <x:c r="H359" s="2"/>
    </x:row>
    <x:row r="360" ht="23" customHeight="1">
      <x:c r="A360" s="2"/>
      <x:c r="B360" s="2"/>
      <x:c r="C360" s="2"/>
      <x:c r="D360" s="2"/>
      <x:c r="E360" s="2"/>
      <x:c r="F360" s="2"/>
      <x:c r="G360" s="2"/>
      <x:c r="H360" s="2"/>
    </x:row>
    <x:row r="361" ht="23" customHeight="1">
      <x:c r="A361" s="2"/>
      <x:c r="B361" s="2"/>
      <x:c r="C361" s="2"/>
      <x:c r="D361" s="2"/>
      <x:c r="E361" s="2"/>
      <x:c r="F361" s="2"/>
      <x:c r="G361" s="2"/>
      <x:c r="H361" s="2"/>
    </x:row>
    <x:row r="362" ht="23" customHeight="1">
      <x:c r="A362" s="2"/>
      <x:c r="B362" s="2"/>
      <x:c r="C362" s="2"/>
      <x:c r="D362" s="2"/>
      <x:c r="E362" s="2"/>
      <x:c r="F362" s="2"/>
      <x:c r="G362" s="2"/>
      <x:c r="H362" s="2"/>
    </x:row>
    <x:row r="363" ht="23" customHeight="1">
      <x:c r="A363" s="2"/>
      <x:c r="B363" s="2"/>
      <x:c r="C363" s="2"/>
      <x:c r="D363" s="2"/>
      <x:c r="E363" s="2"/>
      <x:c r="F363" s="2"/>
      <x:c r="G363" s="2"/>
      <x:c r="H363" s="2"/>
    </x:row>
    <x:row r="364" ht="23" customHeight="1">
      <x:c r="A364" s="2"/>
      <x:c r="B364" s="2"/>
      <x:c r="C364" s="2"/>
      <x:c r="D364" s="2"/>
      <x:c r="E364" s="2"/>
      <x:c r="F364" s="2"/>
      <x:c r="G364" s="2"/>
      <x:c r="H364" s="2"/>
    </x:row>
    <x:row r="365" ht="23" customHeight="1">
      <x:c r="A365" s="2"/>
      <x:c r="B365" s="2"/>
      <x:c r="C365" s="2"/>
      <x:c r="D365" s="2"/>
      <x:c r="E365" s="2"/>
      <x:c r="F365" s="2"/>
      <x:c r="G365" s="2"/>
      <x:c r="H365" s="2"/>
    </x:row>
    <x:row r="366" ht="23" customHeight="1">
      <x:c r="A366" s="2"/>
      <x:c r="B366" s="2"/>
      <x:c r="C366" s="2"/>
      <x:c r="D366" s="2"/>
      <x:c r="E366" s="2"/>
      <x:c r="F366" s="2"/>
      <x:c r="G366" s="2"/>
      <x:c r="H366" s="2"/>
    </x:row>
    <x:row r="367" ht="23" customHeight="1">
      <x:c r="A367" s="2"/>
      <x:c r="B367" s="2"/>
      <x:c r="C367" s="2"/>
      <x:c r="D367" s="2"/>
      <x:c r="E367" s="2"/>
      <x:c r="F367" s="2"/>
      <x:c r="G367" s="2"/>
      <x:c r="H367" s="2"/>
    </x:row>
    <x:row r="368" ht="23" customHeight="1">
      <x:c r="A368" s="2"/>
      <x:c r="B368" s="2"/>
      <x:c r="C368" s="2"/>
      <x:c r="D368" s="2"/>
      <x:c r="E368" s="2"/>
      <x:c r="F368" s="2"/>
      <x:c r="G368" s="2"/>
      <x:c r="H368" s="2"/>
    </x:row>
    <x:row r="369" ht="23" customHeight="1">
      <x:c r="A369" s="2"/>
      <x:c r="B369" s="2"/>
      <x:c r="C369" s="2"/>
      <x:c r="D369" s="2"/>
      <x:c r="E369" s="2"/>
      <x:c r="F369" s="2"/>
      <x:c r="G369" s="2"/>
      <x:c r="H369" s="2"/>
    </x:row>
    <x:row r="370" ht="23" customHeight="1">
      <x:c r="A370" s="2"/>
      <x:c r="B370" s="2"/>
      <x:c r="C370" s="2"/>
      <x:c r="D370" s="2"/>
      <x:c r="E370" s="2"/>
      <x:c r="F370" s="2"/>
      <x:c r="G370" s="2"/>
      <x:c r="H370" s="2"/>
    </x:row>
    <x:row r="371" ht="23" customHeight="1">
      <x:c r="A371" s="2"/>
      <x:c r="B371" s="2"/>
      <x:c r="C371" s="2"/>
      <x:c r="D371" s="2"/>
      <x:c r="E371" s="2"/>
      <x:c r="F371" s="2"/>
      <x:c r="G371" s="2"/>
      <x:c r="H371" s="2"/>
    </x:row>
    <x:row r="372" ht="23" customHeight="1">
      <x:c r="A372" s="2"/>
      <x:c r="B372" s="2"/>
      <x:c r="C372" s="2"/>
      <x:c r="D372" s="2"/>
      <x:c r="E372" s="2"/>
      <x:c r="F372" s="2"/>
      <x:c r="G372" s="2"/>
      <x:c r="H372" s="2"/>
    </x:row>
    <x:row r="373" ht="23" customHeight="1">
      <x:c r="A373" s="2"/>
      <x:c r="B373" s="2"/>
      <x:c r="C373" s="2"/>
      <x:c r="D373" s="2"/>
      <x:c r="E373" s="2"/>
      <x:c r="F373" s="2"/>
      <x:c r="G373" s="2"/>
      <x:c r="H373" s="2"/>
    </x:row>
    <x:row r="374" ht="23" customHeight="1">
      <x:c r="A374" s="2"/>
      <x:c r="B374" s="2"/>
      <x:c r="C374" s="2"/>
      <x:c r="D374" s="2"/>
      <x:c r="E374" s="2"/>
      <x:c r="F374" s="2"/>
      <x:c r="G374" s="2"/>
      <x:c r="H374" s="2"/>
    </x:row>
    <x:row r="375" ht="23" customHeight="1">
      <x:c r="A375" s="2"/>
      <x:c r="B375" s="2"/>
      <x:c r="C375" s="2"/>
      <x:c r="D375" s="2"/>
      <x:c r="E375" s="2"/>
      <x:c r="F375" s="2"/>
      <x:c r="G375" s="2"/>
      <x:c r="H375" s="2"/>
    </x:row>
    <x:row r="376" ht="23" customHeight="1">
      <x:c r="A376" s="2"/>
      <x:c r="B376" s="2"/>
      <x:c r="C376" s="2"/>
      <x:c r="D376" s="2"/>
      <x:c r="E376" s="2"/>
      <x:c r="F376" s="2"/>
      <x:c r="G376" s="2"/>
      <x:c r="H376" s="2"/>
    </x:row>
    <x:row r="377" ht="23" customHeight="1">
      <x:c r="A377" s="2"/>
      <x:c r="B377" s="2"/>
      <x:c r="C377" s="2"/>
      <x:c r="D377" s="2"/>
      <x:c r="E377" s="2"/>
      <x:c r="F377" s="2"/>
      <x:c r="G377" s="2"/>
      <x:c r="H377" s="2"/>
    </x:row>
    <x:row r="378" ht="23" customHeight="1">
      <x:c r="A378" s="2"/>
      <x:c r="B378" s="2"/>
      <x:c r="C378" s="2"/>
      <x:c r="D378" s="2"/>
      <x:c r="E378" s="2"/>
      <x:c r="F378" s="2"/>
      <x:c r="G378" s="2"/>
      <x:c r="H378" s="2"/>
    </x:row>
    <x:row r="379" ht="23" customHeight="1">
      <x:c r="A379" s="2"/>
      <x:c r="B379" s="2"/>
      <x:c r="C379" s="2"/>
      <x:c r="D379" s="2"/>
      <x:c r="E379" s="2"/>
      <x:c r="F379" s="2"/>
      <x:c r="G379" s="2"/>
      <x:c r="H379" s="2"/>
    </x:row>
    <x:row r="380" ht="23" customHeight="1">
      <x:c r="A380" s="2"/>
      <x:c r="B380" s="2"/>
      <x:c r="C380" s="2"/>
      <x:c r="D380" s="2"/>
      <x:c r="E380" s="2"/>
      <x:c r="F380" s="2"/>
      <x:c r="G380" s="2"/>
      <x:c r="H380" s="2"/>
    </x:row>
    <x:row r="381" ht="23" customHeight="1">
      <x:c r="A381" s="2"/>
      <x:c r="B381" s="2"/>
      <x:c r="C381" s="2"/>
      <x:c r="D381" s="2"/>
      <x:c r="E381" s="2"/>
      <x:c r="F381" s="2"/>
      <x:c r="G381" s="2"/>
      <x:c r="H381" s="2"/>
    </x:row>
    <x:row r="382" ht="23" customHeight="1">
      <x:c r="A382" s="2"/>
      <x:c r="B382" s="2"/>
      <x:c r="C382" s="2"/>
      <x:c r="D382" s="2"/>
      <x:c r="E382" s="2"/>
      <x:c r="F382" s="2"/>
      <x:c r="G382" s="2"/>
      <x:c r="H382" s="2"/>
    </x:row>
    <x:row r="383" ht="23" customHeight="1">
      <x:c r="A383" s="2"/>
      <x:c r="B383" s="2"/>
      <x:c r="C383" s="2"/>
      <x:c r="D383" s="2"/>
      <x:c r="E383" s="2"/>
      <x:c r="F383" s="2"/>
      <x:c r="G383" s="2"/>
      <x:c r="H383" s="2"/>
    </x:row>
    <x:row r="384" ht="23" customHeight="1">
      <x:c r="A384" s="2"/>
      <x:c r="B384" s="2"/>
      <x:c r="C384" s="2"/>
      <x:c r="D384" s="2"/>
      <x:c r="E384" s="2"/>
      <x:c r="F384" s="2"/>
      <x:c r="G384" s="2"/>
      <x:c r="H384" s="2"/>
    </x:row>
    <x:row r="385" ht="23" customHeight="1">
      <x:c r="A385" s="2"/>
      <x:c r="B385" s="2"/>
      <x:c r="C385" s="2"/>
      <x:c r="D385" s="2"/>
      <x:c r="E385" s="2"/>
      <x:c r="F385" s="2"/>
      <x:c r="G385" s="2"/>
      <x:c r="H385" s="2"/>
    </x:row>
    <x:row r="386" ht="23" customHeight="1">
      <x:c r="A386" s="2"/>
      <x:c r="B386" s="2"/>
      <x:c r="C386" s="2"/>
      <x:c r="D386" s="2"/>
      <x:c r="E386" s="2"/>
      <x:c r="F386" s="2"/>
      <x:c r="G386" s="2"/>
      <x:c r="H386" s="2"/>
    </x:row>
    <x:row r="387" ht="23" customHeight="1">
      <x:c r="A387" s="2"/>
      <x:c r="B387" s="2"/>
      <x:c r="C387" s="2"/>
      <x:c r="D387" s="2"/>
      <x:c r="E387" s="2"/>
      <x:c r="F387" s="2"/>
      <x:c r="G387" s="2"/>
      <x:c r="H387" s="2"/>
    </x:row>
    <x:row r="388" ht="23" customHeight="1">
      <x:c r="A388" s="2"/>
      <x:c r="B388" s="2"/>
      <x:c r="C388" s="2"/>
      <x:c r="D388" s="2"/>
      <x:c r="E388" s="2"/>
      <x:c r="F388" s="2"/>
      <x:c r="G388" s="2"/>
      <x:c r="H388" s="2"/>
    </x:row>
    <x:row r="389" ht="23" customHeight="1">
      <x:c r="A389" s="2"/>
      <x:c r="B389" s="2"/>
      <x:c r="C389" s="2"/>
      <x:c r="D389" s="2"/>
      <x:c r="E389" s="2"/>
      <x:c r="F389" s="2"/>
      <x:c r="G389" s="2"/>
      <x:c r="H389" s="2"/>
    </x:row>
    <x:row r="390" ht="23" customHeight="1">
      <x:c r="A390" s="2"/>
      <x:c r="B390" s="2"/>
      <x:c r="C390" s="2"/>
      <x:c r="D390" s="2"/>
      <x:c r="E390" s="2"/>
      <x:c r="F390" s="2"/>
      <x:c r="G390" s="2"/>
      <x:c r="H390" s="2"/>
    </x:row>
    <x:row r="391" ht="23" customHeight="1">
      <x:c r="A391" s="2"/>
      <x:c r="B391" s="2"/>
      <x:c r="C391" s="2"/>
      <x:c r="D391" s="2"/>
      <x:c r="E391" s="2"/>
      <x:c r="F391" s="2"/>
      <x:c r="G391" s="2"/>
      <x:c r="H391" s="2"/>
    </x:row>
    <x:row r="392" ht="23" customHeight="1">
      <x:c r="A392" s="2"/>
      <x:c r="B392" s="2"/>
      <x:c r="C392" s="2"/>
      <x:c r="D392" s="2"/>
      <x:c r="E392" s="2"/>
      <x:c r="F392" s="2"/>
      <x:c r="G392" s="2"/>
      <x:c r="H392" s="2"/>
    </x:row>
    <x:row r="393" ht="23" customHeight="1">
      <x:c r="A393" s="2"/>
      <x:c r="B393" s="2"/>
      <x:c r="C393" s="2"/>
      <x:c r="D393" s="2"/>
      <x:c r="E393" s="2"/>
      <x:c r="F393" s="2"/>
      <x:c r="G393" s="2"/>
      <x:c r="H393" s="2"/>
    </x:row>
    <x:row r="394" ht="23" customHeight="1">
      <x:c r="A394" s="2"/>
      <x:c r="B394" s="2"/>
      <x:c r="C394" s="2"/>
      <x:c r="D394" s="2"/>
      <x:c r="E394" s="2"/>
      <x:c r="F394" s="2"/>
      <x:c r="G394" s="2"/>
      <x:c r="H394" s="2"/>
    </x:row>
    <x:row r="395" ht="23" customHeight="1">
      <x:c r="A395" s="2"/>
      <x:c r="B395" s="2"/>
      <x:c r="C395" s="2"/>
      <x:c r="D395" s="2"/>
      <x:c r="E395" s="2"/>
      <x:c r="F395" s="2"/>
      <x:c r="G395" s="2"/>
      <x:c r="H395" s="2"/>
    </x:row>
    <x:row r="396" ht="23" customHeight="1">
      <x:c r="A396" s="2"/>
      <x:c r="B396" s="2"/>
      <x:c r="C396" s="2"/>
      <x:c r="D396" s="2"/>
      <x:c r="E396" s="2"/>
      <x:c r="F396" s="2"/>
      <x:c r="G396" s="2"/>
      <x:c r="H396" s="2"/>
    </x:row>
    <x:row r="397" ht="23" customHeight="1">
      <x:c r="A397" s="2"/>
      <x:c r="B397" s="2"/>
      <x:c r="C397" s="2"/>
      <x:c r="D397" s="2"/>
      <x:c r="E397" s="2"/>
      <x:c r="F397" s="2"/>
      <x:c r="G397" s="2"/>
      <x:c r="H397" s="2"/>
    </x:row>
    <x:row r="398" ht="23" customHeight="1">
      <x:c r="A398" s="2"/>
      <x:c r="B398" s="2"/>
      <x:c r="C398" s="2"/>
      <x:c r="D398" s="2"/>
      <x:c r="E398" s="2"/>
      <x:c r="F398" s="2"/>
      <x:c r="G398" s="2"/>
      <x:c r="H398" s="2"/>
    </x:row>
    <x:row r="399" ht="23" customHeight="1">
      <x:c r="A399" s="2"/>
      <x:c r="B399" s="2"/>
      <x:c r="C399" s="2"/>
      <x:c r="D399" s="2"/>
      <x:c r="E399" s="2"/>
      <x:c r="F399" s="2"/>
      <x:c r="G399" s="2"/>
      <x:c r="H399" s="2"/>
    </x:row>
    <x:row r="400" ht="23" customHeight="1">
      <x:c r="A400" s="2"/>
      <x:c r="B400" s="2"/>
      <x:c r="C400" s="2"/>
      <x:c r="D400" s="2"/>
      <x:c r="E400" s="2"/>
      <x:c r="F400" s="2"/>
      <x:c r="G400" s="2"/>
      <x:c r="H400" s="2"/>
    </x:row>
  </x:sheetData>
  <x:mergeCells>
    <x:mergeCell ref="A1:H1"/>
    <x:mergeCell ref="A2:H2"/>
    <x:mergeCell ref="A4:H4"/>
    <x:mergeCell ref="A5:H5"/>
    <x:mergeCell ref="A6:H6"/>
    <x:mergeCell ref="A7:H7"/>
    <x:mergeCell ref="A9:H9"/>
    <x:mergeCell ref="A10:H10"/>
    <x:mergeCell ref="A11:H11"/>
    <x:mergeCell ref="A12:H12"/>
    <x:mergeCell ref="A14:H14"/>
    <x:mergeCell ref="A15:H15"/>
    <x:mergeCell ref="A16:H16"/>
    <x:mergeCell ref="A17:H17"/>
    <x:mergeCell ref="A19:H19"/>
    <x:mergeCell ref="A20:H20"/>
    <x:mergeCell ref="A21:H21"/>
    <x:mergeCell ref="A22:H22"/>
    <x:mergeCell ref="A24:H24"/>
    <x:mergeCell ref="A25:H25"/>
    <x:mergeCell ref="A26:H26"/>
    <x:mergeCell ref="A27:H27"/>
    <x:mergeCell ref="A29:H29"/>
    <x:mergeCell ref="A30:H30"/>
    <x:mergeCell ref="A31:H31"/>
    <x:mergeCell ref="A32:H32"/>
    <x:mergeCell ref="A34:H34"/>
    <x:mergeCell ref="A35:H35"/>
    <x:mergeCell ref="A36:H36"/>
    <x:mergeCell ref="A37:H37"/>
    <x:mergeCell ref="A39:H39"/>
    <x:mergeCell ref="A40:H40"/>
    <x:mergeCell ref="A41:H41"/>
    <x:mergeCell ref="A42:H42"/>
    <x:mergeCell ref="A44:H44"/>
    <x:mergeCell ref="A45:H45"/>
    <x:mergeCell ref="A46:H46"/>
    <x:mergeCell ref="A47:H47"/>
    <x:mergeCell ref="A49:H49"/>
    <x:mergeCell ref="A50:H50"/>
    <x:mergeCell ref="A51:H51"/>
    <x:mergeCell ref="A52:H52"/>
    <x:mergeCell ref="A54:H54"/>
    <x:mergeCell ref="A55:H55"/>
    <x:mergeCell ref="A56:H56"/>
    <x:mergeCell ref="A57:H57"/>
    <x:mergeCell ref="A59:H59"/>
    <x:mergeCell ref="A60:H60"/>
    <x:mergeCell ref="A61:H61"/>
    <x:mergeCell ref="A62:H62"/>
    <x:mergeCell ref="A64:H64"/>
    <x:mergeCell ref="A65:H65"/>
    <x:mergeCell ref="A66:H66"/>
    <x:mergeCell ref="A67:H67"/>
    <x:mergeCell ref="A69:H69"/>
    <x:mergeCell ref="A70:H70"/>
    <x:mergeCell ref="A71:H71"/>
    <x:mergeCell ref="A72:H72"/>
    <x:mergeCell ref="A74:H74"/>
    <x:mergeCell ref="A75:H75"/>
    <x:mergeCell ref="A76:H76"/>
    <x:mergeCell ref="A77:H77"/>
    <x:mergeCell ref="A79:H79"/>
    <x:mergeCell ref="A80:H80"/>
    <x:mergeCell ref="A81:H81"/>
    <x:mergeCell ref="A82:H82"/>
    <x:mergeCell ref="A84:H84"/>
    <x:mergeCell ref="A85:H85"/>
    <x:mergeCell ref="A86:H86"/>
    <x:mergeCell ref="A87:H87"/>
    <x:mergeCell ref="A89:H89"/>
    <x:mergeCell ref="A90:H90"/>
    <x:mergeCell ref="A91:H91"/>
    <x:mergeCell ref="A92:H92"/>
    <x:mergeCell ref="A94:H94"/>
    <x:mergeCell ref="A95:H95"/>
    <x:mergeCell ref="A96:H96"/>
    <x:mergeCell ref="A97:H97"/>
    <x:mergeCell ref="A99:H99"/>
    <x:mergeCell ref="A100:H100"/>
    <x:mergeCell ref="A101:H101"/>
    <x:mergeCell ref="A102:H102"/>
    <x:mergeCell ref="A104:H104"/>
    <x:mergeCell ref="A105:H105"/>
    <x:mergeCell ref="A106:H106"/>
    <x:mergeCell ref="A107:H107"/>
    <x:mergeCell ref="A109:H109"/>
    <x:mergeCell ref="A110:H110"/>
    <x:mergeCell ref="A111:H111"/>
    <x:mergeCell ref="A112:H112"/>
    <x:mergeCell ref="A114:H114"/>
    <x:mergeCell ref="A115:H115"/>
    <x:mergeCell ref="A116:H116"/>
    <x:mergeCell ref="A117:H117"/>
    <x:mergeCell ref="A119:H119"/>
    <x:mergeCell ref="A120:H120"/>
    <x:mergeCell ref="A121:H121"/>
    <x:mergeCell ref="A122:H122"/>
    <x:mergeCell ref="A124:H124"/>
    <x:mergeCell ref="A125:H125"/>
    <x:mergeCell ref="A126:H126"/>
    <x:mergeCell ref="A127:H127"/>
    <x:mergeCell ref="A129:H129"/>
    <x:mergeCell ref="A130:H130"/>
    <x:mergeCell ref="A131:H131"/>
    <x:mergeCell ref="A132:H132"/>
    <x:mergeCell ref="A134:H134"/>
    <x:mergeCell ref="A135:H135"/>
    <x:mergeCell ref="A136:H136"/>
    <x:mergeCell ref="A137:H137"/>
    <x:mergeCell ref="A139:H139"/>
    <x:mergeCell ref="A140:H140"/>
    <x:mergeCell ref="A141:H141"/>
    <x:mergeCell ref="A142:H142"/>
    <x:mergeCell ref="A144:H144"/>
    <x:mergeCell ref="A145:H145"/>
    <x:mergeCell ref="A146:H146"/>
    <x:mergeCell ref="A147:H147"/>
    <x:mergeCell ref="A149:H149"/>
    <x:mergeCell ref="A150:H150"/>
    <x:mergeCell ref="A151:H151"/>
    <x:mergeCell ref="A152:H152"/>
    <x:mergeCell ref="A154:H154"/>
    <x:mergeCell ref="A155:H155"/>
    <x:mergeCell ref="A156:H156"/>
    <x:mergeCell ref="A157:H157"/>
    <x:mergeCell ref="A159:H159"/>
    <x:mergeCell ref="A160:H160"/>
    <x:mergeCell ref="A161:H161"/>
    <x:mergeCell ref="A162:H162"/>
    <x:mergeCell ref="A164:H164"/>
    <x:mergeCell ref="A165:H165"/>
    <x:mergeCell ref="A166:H166"/>
    <x:mergeCell ref="A167:H167"/>
    <x:mergeCell ref="A169:H169"/>
    <x:mergeCell ref="A170:H170"/>
    <x:mergeCell ref="A171:H171"/>
    <x:mergeCell ref="A172:H172"/>
    <x:mergeCell ref="A174:H174"/>
    <x:mergeCell ref="A175:H175"/>
    <x:mergeCell ref="A176:H176"/>
    <x:mergeCell ref="A177:H177"/>
    <x:mergeCell ref="A179:H179"/>
    <x:mergeCell ref="A180:H180"/>
    <x:mergeCell ref="A181:H181"/>
    <x:mergeCell ref="A182:H182"/>
    <x:mergeCell ref="A184:H184"/>
    <x:mergeCell ref="A185:H185"/>
    <x:mergeCell ref="A186:H186"/>
    <x:mergeCell ref="A187:H187"/>
    <x:mergeCell ref="A189:H189"/>
    <x:mergeCell ref="A190:H190"/>
    <x:mergeCell ref="A191:H191"/>
    <x:mergeCell ref="A192:H192"/>
    <x:mergeCell ref="A194:H194"/>
    <x:mergeCell ref="A195:H195"/>
    <x:mergeCell ref="A196:H196"/>
    <x:mergeCell ref="A197:H197"/>
    <x:mergeCell ref="A199:H199"/>
    <x:mergeCell ref="A200:H200"/>
    <x:mergeCell ref="A201:H201"/>
    <x:mergeCell ref="A202:H202"/>
    <x:mergeCell ref="A204:H204"/>
    <x:mergeCell ref="A205:H205"/>
    <x:mergeCell ref="A206:H206"/>
    <x:mergeCell ref="A207:H207"/>
    <x:mergeCell ref="A209:H209"/>
    <x:mergeCell ref="A210:H210"/>
    <x:mergeCell ref="A211:H211"/>
    <x:mergeCell ref="A212:H212"/>
    <x:mergeCell ref="A214:H214"/>
    <x:mergeCell ref="A215:H215"/>
    <x:mergeCell ref="A216:H216"/>
    <x:mergeCell ref="A217:H217"/>
    <x:mergeCell ref="A219:H219"/>
    <x:mergeCell ref="A220:H220"/>
    <x:mergeCell ref="A221:H221"/>
    <x:mergeCell ref="A222:H222"/>
    <x:mergeCell ref="A224:H224"/>
    <x:mergeCell ref="A225:H225"/>
    <x:mergeCell ref="A226:H226"/>
    <x:mergeCell ref="A227:H227"/>
    <x:mergeCell ref="A229:H229"/>
    <x:mergeCell ref="A230:H230"/>
    <x:mergeCell ref="A231:H231"/>
    <x:mergeCell ref="A232:H232"/>
    <x:mergeCell ref="A234:H234"/>
    <x:mergeCell ref="A235:H235"/>
    <x:mergeCell ref="A236:H236"/>
    <x:mergeCell ref="A237:H237"/>
    <x:mergeCell ref="A239:H239"/>
    <x:mergeCell ref="A240:H240"/>
    <x:mergeCell ref="A241:H241"/>
    <x:mergeCell ref="A242:H242"/>
    <x:mergeCell ref="A244:H244"/>
    <x:mergeCell ref="A245:H245"/>
    <x:mergeCell ref="A246:H246"/>
    <x:mergeCell ref="A247:H247"/>
    <x:mergeCell ref="A249:H249"/>
    <x:mergeCell ref="A250:H250"/>
    <x:mergeCell ref="A251:H251"/>
    <x:mergeCell ref="A252:H252"/>
    <x:mergeCell ref="A254:H254"/>
    <x:mergeCell ref="A255:H255"/>
    <x:mergeCell ref="A256:H256"/>
    <x:mergeCell ref="A257:H257"/>
    <x:mergeCell ref="A259:H259"/>
    <x:mergeCell ref="A260:H260"/>
    <x:mergeCell ref="A261:H261"/>
    <x:mergeCell ref="A262:H262"/>
    <x:mergeCell ref="A264:H264"/>
    <x:mergeCell ref="A265:H265"/>
    <x:mergeCell ref="A266:H266"/>
    <x:mergeCell ref="A267:H267"/>
    <x:mergeCell ref="A269:H269"/>
    <x:mergeCell ref="A270:H270"/>
    <x:mergeCell ref="A271:H271"/>
    <x:mergeCell ref="A272:H272"/>
    <x:mergeCell ref="A274:H274"/>
    <x:mergeCell ref="A275:H275"/>
    <x:mergeCell ref="A276:H276"/>
    <x:mergeCell ref="A277:H277"/>
  </x:mergeCells>
  <x:pageMargins left="0.7" right="0.7" top="0.75" bottom="0.75" header="0.3" footer="0.3"/>
</x:worksheet>
</file>